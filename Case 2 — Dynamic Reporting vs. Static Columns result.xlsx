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nin\Downloads\"/>
    </mc:Choice>
  </mc:AlternateContent>
  <xr:revisionPtr revIDLastSave="0" documentId="13_ncr:1_{582CC4FE-6210-417A-B3B9-5C7DB2E5B894}" xr6:coauthVersionLast="47" xr6:coauthVersionMax="47" xr10:uidLastSave="{00000000-0000-0000-0000-000000000000}"/>
  <bookViews>
    <workbookView xWindow="-110" yWindow="-110" windowWidth="22780" windowHeight="14540" xr2:uid="{E49183AB-4466-49DE-93BB-0141393D4D93}"/>
  </bookViews>
  <sheets>
    <sheet name="sheet cũ" sheetId="7" r:id="rId1"/>
    <sheet name="0-Hướng dẫn" sheetId="6" r:id="rId2"/>
    <sheet name="1-Nhập liệu thực phẩm" sheetId="3" r:id="rId3"/>
    <sheet name="2-TỔNG HỢP" sheetId="5" r:id="rId4"/>
    <sheet name="1.2-DS thực phẩm" sheetId="4" r:id="rId5"/>
  </sheets>
  <definedNames>
    <definedName name="_xlnm._FilterDatabase" localSheetId="4" hidden="1">'1.2-DS thực phẩm'!$B$1:$B$50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9" i="3" l="1"/>
  <c r="A40" i="3"/>
  <c r="H39" i="3"/>
  <c r="H40" i="3"/>
  <c r="EP26" i="7"/>
  <c r="EM26" i="7"/>
  <c r="EJ26" i="7"/>
  <c r="EG26" i="7"/>
  <c r="ED26" i="7"/>
  <c r="DR26" i="7"/>
  <c r="DI26" i="7"/>
  <c r="DF26" i="7"/>
  <c r="DC26" i="7"/>
  <c r="CZ26" i="7"/>
  <c r="BM26" i="7"/>
  <c r="BG26" i="7"/>
  <c r="BF26" i="7"/>
  <c r="BD26" i="7"/>
  <c r="BA26" i="7"/>
  <c r="AX26" i="7"/>
  <c r="AU26" i="7"/>
  <c r="AO26" i="7"/>
  <c r="AL26" i="7"/>
  <c r="AI26" i="7"/>
  <c r="AF26" i="7"/>
  <c r="K26" i="7"/>
  <c r="H26" i="7"/>
  <c r="E26" i="7"/>
  <c r="B26" i="7"/>
  <c r="CJ25" i="7"/>
  <c r="CG25" i="7"/>
  <c r="CD25" i="7"/>
  <c r="CJ24" i="7"/>
  <c r="CG24" i="7"/>
  <c r="CD24" i="7"/>
  <c r="CJ23" i="7"/>
  <c r="CG23" i="7"/>
  <c r="CD23" i="7"/>
  <c r="CJ22" i="7"/>
  <c r="CG22" i="7"/>
  <c r="CD22" i="7"/>
  <c r="CJ21" i="7"/>
  <c r="CG21" i="7"/>
  <c r="CD21" i="7"/>
  <c r="CJ20" i="7"/>
  <c r="CG20" i="7"/>
  <c r="CD20" i="7"/>
  <c r="M20" i="7"/>
  <c r="CJ19" i="7"/>
  <c r="CG19" i="7"/>
  <c r="CD19" i="7"/>
  <c r="M19" i="7"/>
  <c r="CJ18" i="7"/>
  <c r="CG18" i="7"/>
  <c r="CD18" i="7"/>
  <c r="AK18" i="7"/>
  <c r="M18" i="7"/>
  <c r="CJ17" i="7"/>
  <c r="CG17" i="7"/>
  <c r="CD17" i="7"/>
  <c r="AK17" i="7"/>
  <c r="S17" i="7"/>
  <c r="M17" i="7"/>
  <c r="CJ16" i="7"/>
  <c r="CG16" i="7"/>
  <c r="CD16" i="7"/>
  <c r="AK16" i="7"/>
  <c r="S16" i="7"/>
  <c r="P16" i="7"/>
  <c r="M16" i="7"/>
  <c r="CJ15" i="7"/>
  <c r="CG15" i="7"/>
  <c r="CD15" i="7"/>
  <c r="AK15" i="7"/>
  <c r="S15" i="7"/>
  <c r="P15" i="7"/>
  <c r="M15" i="7"/>
  <c r="CJ14" i="7"/>
  <c r="CG14" i="7"/>
  <c r="CD14" i="7"/>
  <c r="AK14" i="7"/>
  <c r="V14" i="7"/>
  <c r="S14" i="7"/>
  <c r="P14" i="7"/>
  <c r="M14" i="7"/>
  <c r="CJ13" i="7"/>
  <c r="CG13" i="7"/>
  <c r="CD13" i="7"/>
  <c r="AT13" i="7"/>
  <c r="AK13" i="7"/>
  <c r="Y13" i="7"/>
  <c r="V13" i="7"/>
  <c r="S13" i="7"/>
  <c r="P13" i="7"/>
  <c r="M13" i="7"/>
  <c r="DN12" i="7"/>
  <c r="CP12" i="7"/>
  <c r="CJ12" i="7"/>
  <c r="CG12" i="7"/>
  <c r="CD12" i="7"/>
  <c r="AT12" i="7"/>
  <c r="AN12" i="7"/>
  <c r="AK12" i="7"/>
  <c r="Y12" i="7"/>
  <c r="V12" i="7"/>
  <c r="S12" i="7"/>
  <c r="P12" i="7"/>
  <c r="M12" i="7"/>
  <c r="EC11" i="7"/>
  <c r="DZ11" i="7"/>
  <c r="DW11" i="7"/>
  <c r="DN11" i="7"/>
  <c r="DB11" i="7"/>
  <c r="CP11" i="7"/>
  <c r="CJ11" i="7"/>
  <c r="CG11" i="7"/>
  <c r="CD11" i="7"/>
  <c r="CA11" i="7"/>
  <c r="BX11" i="7"/>
  <c r="BO11" i="7"/>
  <c r="BI11" i="7"/>
  <c r="BF11" i="7"/>
  <c r="AW11" i="7"/>
  <c r="AT11" i="7"/>
  <c r="AN11" i="7"/>
  <c r="AK11" i="7"/>
  <c r="AB11" i="7"/>
  <c r="Y11" i="7"/>
  <c r="V11" i="7"/>
  <c r="S11" i="7"/>
  <c r="P11" i="7"/>
  <c r="M11" i="7"/>
  <c r="J11" i="7"/>
  <c r="EC10" i="7"/>
  <c r="DZ10" i="7"/>
  <c r="DW10" i="7"/>
  <c r="DT10" i="7"/>
  <c r="DN10" i="7"/>
  <c r="DK10" i="7"/>
  <c r="DH10" i="7"/>
  <c r="DB10" i="7"/>
  <c r="CY10" i="7"/>
  <c r="CP10" i="7"/>
  <c r="CJ10" i="7"/>
  <c r="CG10" i="7"/>
  <c r="CD10" i="7"/>
  <c r="CA10" i="7"/>
  <c r="BX10" i="7"/>
  <c r="BU10" i="7"/>
  <c r="BO10" i="7"/>
  <c r="BI10" i="7"/>
  <c r="BF10" i="7"/>
  <c r="AW10" i="7"/>
  <c r="AT10" i="7"/>
  <c r="AQ10" i="7"/>
  <c r="AN10" i="7"/>
  <c r="AK10" i="7"/>
  <c r="AB10" i="7"/>
  <c r="Y10" i="7"/>
  <c r="V10" i="7"/>
  <c r="S10" i="7"/>
  <c r="P10" i="7"/>
  <c r="M10" i="7"/>
  <c r="J10" i="7"/>
  <c r="G10" i="7"/>
  <c r="D10" i="7"/>
  <c r="ER9" i="7"/>
  <c r="EC9" i="7"/>
  <c r="DZ9" i="7"/>
  <c r="DW9" i="7"/>
  <c r="DT9" i="7"/>
  <c r="DN9" i="7"/>
  <c r="DK9" i="7"/>
  <c r="DH9" i="7"/>
  <c r="DB9" i="7"/>
  <c r="CY9" i="7"/>
  <c r="CP9" i="7"/>
  <c r="CJ9" i="7"/>
  <c r="CG9" i="7"/>
  <c r="CD9" i="7"/>
  <c r="CA9" i="7"/>
  <c r="BX9" i="7"/>
  <c r="BU9" i="7"/>
  <c r="BR9" i="7"/>
  <c r="BO9" i="7"/>
  <c r="BL9" i="7"/>
  <c r="BI9" i="7"/>
  <c r="BF9" i="7"/>
  <c r="AW9" i="7"/>
  <c r="AT9" i="7"/>
  <c r="AQ9" i="7"/>
  <c r="AN9" i="7"/>
  <c r="AK9" i="7"/>
  <c r="AH9" i="7"/>
  <c r="AB9" i="7"/>
  <c r="Y9" i="7"/>
  <c r="V9" i="7"/>
  <c r="S9" i="7"/>
  <c r="P9" i="7"/>
  <c r="M9" i="7"/>
  <c r="J9" i="7"/>
  <c r="G9" i="7"/>
  <c r="D9" i="7"/>
  <c r="ER8" i="7"/>
  <c r="EC8" i="7"/>
  <c r="DZ8" i="7"/>
  <c r="DW8" i="7"/>
  <c r="DT8" i="7"/>
  <c r="DQ8" i="7"/>
  <c r="DN8" i="7"/>
  <c r="DK8" i="7"/>
  <c r="DH8" i="7"/>
  <c r="DE8" i="7"/>
  <c r="DB8" i="7"/>
  <c r="CY8" i="7"/>
  <c r="CP8" i="7"/>
  <c r="CJ8" i="7"/>
  <c r="CG8" i="7"/>
  <c r="CD8" i="7"/>
  <c r="CA8" i="7"/>
  <c r="BX8" i="7"/>
  <c r="BU8" i="7"/>
  <c r="BR8" i="7"/>
  <c r="BO8" i="7"/>
  <c r="BL8" i="7"/>
  <c r="BI8" i="7"/>
  <c r="BF8" i="7"/>
  <c r="AZ8" i="7"/>
  <c r="AW8" i="7"/>
  <c r="AT8" i="7"/>
  <c r="AQ8" i="7"/>
  <c r="AN8" i="7"/>
  <c r="AK8" i="7"/>
  <c r="AH8" i="7"/>
  <c r="AE8" i="7"/>
  <c r="AB8" i="7"/>
  <c r="Y8" i="7"/>
  <c r="V8" i="7"/>
  <c r="S8" i="7"/>
  <c r="P8" i="7"/>
  <c r="M8" i="7"/>
  <c r="J8" i="7"/>
  <c r="G8" i="7"/>
  <c r="D8" i="7"/>
  <c r="D26" i="7" s="1"/>
  <c r="ER7" i="7"/>
  <c r="EC7" i="7"/>
  <c r="DZ7" i="7"/>
  <c r="DW7" i="7"/>
  <c r="DT7" i="7"/>
  <c r="DQ7" i="7"/>
  <c r="DN7" i="7"/>
  <c r="DK7" i="7"/>
  <c r="DH7" i="7"/>
  <c r="DE7" i="7"/>
  <c r="DB7" i="7"/>
  <c r="CY7" i="7"/>
  <c r="CV7" i="7"/>
  <c r="CS7" i="7"/>
  <c r="CP7" i="7"/>
  <c r="CM7" i="7"/>
  <c r="CJ7" i="7"/>
  <c r="CG7" i="7"/>
  <c r="CD7" i="7"/>
  <c r="CA7" i="7"/>
  <c r="BX7" i="7"/>
  <c r="BU7" i="7"/>
  <c r="BR7" i="7"/>
  <c r="BO7" i="7"/>
  <c r="BL7" i="7"/>
  <c r="BI7" i="7"/>
  <c r="BF7" i="7"/>
  <c r="BC7" i="7"/>
  <c r="AZ7" i="7"/>
  <c r="AW7" i="7"/>
  <c r="AT7" i="7"/>
  <c r="AQ7" i="7"/>
  <c r="AN7" i="7"/>
  <c r="AK7" i="7"/>
  <c r="AH7" i="7"/>
  <c r="AE7" i="7"/>
  <c r="AB7" i="7"/>
  <c r="Y7" i="7"/>
  <c r="V7" i="7"/>
  <c r="S7" i="7"/>
  <c r="P7" i="7"/>
  <c r="M7" i="7"/>
  <c r="J7" i="7"/>
  <c r="G7" i="7"/>
  <c r="D7" i="7"/>
  <c r="ER6" i="7"/>
  <c r="EO6" i="7"/>
  <c r="EL6" i="7"/>
  <c r="EF6" i="7"/>
  <c r="EC6" i="7"/>
  <c r="DZ6" i="7"/>
  <c r="DW6" i="7"/>
  <c r="DT6" i="7"/>
  <c r="DQ6" i="7"/>
  <c r="DN6" i="7"/>
  <c r="DK6" i="7"/>
  <c r="DH6" i="7"/>
  <c r="DE6" i="7"/>
  <c r="DE26" i="7" s="1"/>
  <c r="DB6" i="7"/>
  <c r="CY6" i="7"/>
  <c r="CV6" i="7"/>
  <c r="CS6" i="7"/>
  <c r="CP6" i="7"/>
  <c r="CM6" i="7"/>
  <c r="CJ6" i="7"/>
  <c r="CG6" i="7"/>
  <c r="CD6" i="7"/>
  <c r="CA6" i="7"/>
  <c r="BX6" i="7"/>
  <c r="BU6" i="7"/>
  <c r="BR6" i="7"/>
  <c r="BO6" i="7"/>
  <c r="BL6" i="7"/>
  <c r="BI6" i="7"/>
  <c r="BI26" i="7" s="1"/>
  <c r="BF6" i="7"/>
  <c r="BC6" i="7"/>
  <c r="AZ6" i="7"/>
  <c r="AW6" i="7"/>
  <c r="AT6" i="7"/>
  <c r="AQ6" i="7"/>
  <c r="AN6" i="7"/>
  <c r="AK6" i="7"/>
  <c r="AK26" i="7" s="1"/>
  <c r="AH6" i="7"/>
  <c r="AE6" i="7"/>
  <c r="AB6" i="7"/>
  <c r="Y6" i="7"/>
  <c r="V6" i="7"/>
  <c r="S6" i="7"/>
  <c r="P6" i="7"/>
  <c r="M6" i="7"/>
  <c r="M26" i="7" s="1"/>
  <c r="J6" i="7"/>
  <c r="G6" i="7"/>
  <c r="D6" i="7"/>
  <c r="ER5" i="7"/>
  <c r="EO5" i="7"/>
  <c r="EL5" i="7"/>
  <c r="EI5" i="7"/>
  <c r="EF5" i="7"/>
  <c r="EC5" i="7"/>
  <c r="DZ5" i="7"/>
  <c r="DW5" i="7"/>
  <c r="DT5" i="7"/>
  <c r="DQ5" i="7"/>
  <c r="DN5" i="7"/>
  <c r="DK5" i="7"/>
  <c r="DH5" i="7"/>
  <c r="DE5" i="7"/>
  <c r="DB5" i="7"/>
  <c r="CY5" i="7"/>
  <c r="CV5" i="7"/>
  <c r="CS5" i="7"/>
  <c r="CP5" i="7"/>
  <c r="CM5" i="7"/>
  <c r="CJ5" i="7"/>
  <c r="CG5" i="7"/>
  <c r="CD5" i="7"/>
  <c r="CA5" i="7"/>
  <c r="BX5" i="7"/>
  <c r="BU5" i="7"/>
  <c r="BR5" i="7"/>
  <c r="BO5" i="7"/>
  <c r="BL5" i="7"/>
  <c r="BI5" i="7"/>
  <c r="BF5" i="7"/>
  <c r="BC5" i="7"/>
  <c r="AZ5" i="7"/>
  <c r="AW5" i="7"/>
  <c r="AT5" i="7"/>
  <c r="AQ5" i="7"/>
  <c r="AN5" i="7"/>
  <c r="AN26" i="7" s="1"/>
  <c r="AK5" i="7"/>
  <c r="AH5" i="7"/>
  <c r="AE5" i="7"/>
  <c r="AB5" i="7"/>
  <c r="Y5" i="7"/>
  <c r="V5" i="7"/>
  <c r="S5" i="7"/>
  <c r="P5" i="7"/>
  <c r="M5" i="7"/>
  <c r="J5" i="7"/>
  <c r="G5" i="7"/>
  <c r="D5" i="7"/>
  <c r="ER4" i="7"/>
  <c r="EO4" i="7"/>
  <c r="EL4" i="7"/>
  <c r="EI4" i="7"/>
  <c r="EI26" i="7" s="1"/>
  <c r="EF4" i="7"/>
  <c r="EC4" i="7"/>
  <c r="DZ4" i="7"/>
  <c r="DW4" i="7"/>
  <c r="DT4" i="7"/>
  <c r="DQ4" i="7"/>
  <c r="DN4" i="7"/>
  <c r="DK4" i="7"/>
  <c r="DK26" i="7" s="1"/>
  <c r="DH4" i="7"/>
  <c r="DE4" i="7"/>
  <c r="DB4" i="7"/>
  <c r="CY4" i="7"/>
  <c r="CV4" i="7"/>
  <c r="CS4" i="7"/>
  <c r="CP4" i="7"/>
  <c r="CM4" i="7"/>
  <c r="CJ4" i="7"/>
  <c r="CG4" i="7"/>
  <c r="CD4" i="7"/>
  <c r="CA4" i="7"/>
  <c r="BX4" i="7"/>
  <c r="BU4" i="7"/>
  <c r="BR4" i="7"/>
  <c r="BO4" i="7"/>
  <c r="BL4" i="7"/>
  <c r="BI4" i="7"/>
  <c r="BF4" i="7"/>
  <c r="BC4" i="7"/>
  <c r="AZ4" i="7"/>
  <c r="AW4" i="7"/>
  <c r="AW26" i="7" s="1"/>
  <c r="AT4" i="7"/>
  <c r="AQ4" i="7"/>
  <c r="AQ26" i="7" s="1"/>
  <c r="AN4" i="7"/>
  <c r="AK4" i="7"/>
  <c r="AH4" i="7"/>
  <c r="AE4" i="7"/>
  <c r="AB4" i="7"/>
  <c r="Y4" i="7"/>
  <c r="V4" i="7"/>
  <c r="S4" i="7"/>
  <c r="P4" i="7"/>
  <c r="M4" i="7"/>
  <c r="J4" i="7"/>
  <c r="G4" i="7"/>
  <c r="D4" i="7"/>
  <c r="ER3" i="7"/>
  <c r="ER26" i="7" s="1"/>
  <c r="EO3" i="7"/>
  <c r="EO26" i="7" s="1"/>
  <c r="EL3" i="7"/>
  <c r="EL26" i="7" s="1"/>
  <c r="EI3" i="7"/>
  <c r="EF3" i="7"/>
  <c r="EF26" i="7" s="1"/>
  <c r="EC3" i="7"/>
  <c r="DZ3" i="7"/>
  <c r="DW3" i="7"/>
  <c r="DT3" i="7"/>
  <c r="DT26" i="7" s="1"/>
  <c r="DQ3" i="7"/>
  <c r="DN3" i="7"/>
  <c r="DK3" i="7"/>
  <c r="DH3" i="7"/>
  <c r="DE3" i="7"/>
  <c r="DB3" i="7"/>
  <c r="DB26" i="7" s="1"/>
  <c r="CY3" i="7"/>
  <c r="CV3" i="7"/>
  <c r="CS3" i="7"/>
  <c r="CP3" i="7"/>
  <c r="CM3" i="7"/>
  <c r="CJ3" i="7"/>
  <c r="CG3" i="7"/>
  <c r="CD3" i="7"/>
  <c r="CA3" i="7"/>
  <c r="BX3" i="7"/>
  <c r="BO3" i="7"/>
  <c r="BO26" i="7" s="1"/>
  <c r="BL3" i="7"/>
  <c r="BI3" i="7"/>
  <c r="BF3" i="7"/>
  <c r="BC3" i="7"/>
  <c r="BC26" i="7" s="1"/>
  <c r="AZ3" i="7"/>
  <c r="AZ26" i="7" s="1"/>
  <c r="AW3" i="7"/>
  <c r="AT3" i="7"/>
  <c r="AH3" i="7"/>
  <c r="AH26" i="7" s="1"/>
  <c r="AE3" i="7"/>
  <c r="AB3" i="7"/>
  <c r="Y3" i="7"/>
  <c r="V3" i="7"/>
  <c r="S3" i="7"/>
  <c r="P3" i="7"/>
  <c r="M3" i="7"/>
  <c r="J3" i="7"/>
  <c r="J26" i="7" s="1"/>
  <c r="G3" i="7"/>
  <c r="G26" i="7" s="1"/>
  <c r="D3" i="7"/>
  <c r="A38" i="3" l="1"/>
  <c r="H38" i="3"/>
  <c r="A37" i="3"/>
  <c r="H37" i="3"/>
  <c r="A36" i="3"/>
  <c r="H36" i="3"/>
  <c r="A35" i="3"/>
  <c r="H35" i="3"/>
  <c r="A34" i="3"/>
  <c r="H34" i="3"/>
  <c r="A26" i="3"/>
  <c r="A27" i="3"/>
  <c r="A28" i="3"/>
  <c r="A29" i="3"/>
  <c r="A30" i="3"/>
  <c r="A31" i="3"/>
  <c r="A32" i="3"/>
  <c r="A33" i="3"/>
  <c r="H26" i="3"/>
  <c r="H27" i="3"/>
  <c r="H28" i="3"/>
  <c r="H29" i="3"/>
  <c r="H30" i="3"/>
  <c r="H31" i="3"/>
  <c r="H32" i="3"/>
  <c r="H33" i="3"/>
  <c r="A25" i="3"/>
  <c r="H25" i="3"/>
  <c r="A24" i="3"/>
  <c r="H24" i="3"/>
  <c r="A23" i="3"/>
  <c r="H23" i="3"/>
  <c r="A22" i="3"/>
  <c r="H22" i="3"/>
  <c r="A21" i="3"/>
  <c r="H21" i="3"/>
  <c r="A20" i="3"/>
  <c r="H20" i="3"/>
  <c r="A19" i="3"/>
  <c r="H19" i="3"/>
  <c r="A18" i="3"/>
  <c r="H18" i="3"/>
  <c r="A17" i="3"/>
  <c r="H17" i="3"/>
  <c r="A16" i="3"/>
  <c r="H16" i="3"/>
  <c r="A15" i="3"/>
  <c r="H15" i="3"/>
  <c r="A14" i="3"/>
  <c r="H14" i="3"/>
  <c r="A13" i="3"/>
  <c r="H13" i="3"/>
  <c r="A12" i="3"/>
  <c r="H12" i="3"/>
  <c r="A11" i="3"/>
  <c r="H11" i="3"/>
  <c r="A9" i="3"/>
  <c r="A10" i="3"/>
  <c r="H9" i="3"/>
  <c r="H10" i="3"/>
  <c r="A7" i="3"/>
  <c r="A8" i="3"/>
  <c r="H7" i="3"/>
  <c r="H8" i="3"/>
  <c r="A6" i="3"/>
  <c r="H6" i="3"/>
  <c r="A5" i="3"/>
  <c r="H5" i="3"/>
  <c r="A4" i="3"/>
  <c r="H4" i="3"/>
  <c r="H3" i="3"/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3" i="3"/>
</calcChain>
</file>

<file path=xl/sharedStrings.xml><?xml version="1.0" encoding="utf-8"?>
<sst xmlns="http://schemas.openxmlformats.org/spreadsheetml/2006/main" count="338" uniqueCount="90">
  <si>
    <t>NGÀY</t>
  </si>
  <si>
    <t>THỊT BA CHỈ</t>
  </si>
  <si>
    <t>rau súp lơ xanh</t>
  </si>
  <si>
    <t>thịt bò tươi</t>
  </si>
  <si>
    <t>rau bắp cải</t>
  </si>
  <si>
    <t>tôm lớp sống to</t>
  </si>
  <si>
    <t>quả bí đỏ</t>
  </si>
  <si>
    <t>thịt lợn vai</t>
  </si>
  <si>
    <t>bún khô</t>
  </si>
  <si>
    <t>quả cà chua</t>
  </si>
  <si>
    <t>hành lá</t>
  </si>
  <si>
    <t>mỡ khổ</t>
  </si>
  <si>
    <t>SỔ THEO DÕI THỰC PHẨM HÀNG NGÀY</t>
  </si>
  <si>
    <t>13/10/2025</t>
  </si>
  <si>
    <t>14/10/2025</t>
  </si>
  <si>
    <t>15/10/2025</t>
  </si>
  <si>
    <t>16/10/2025</t>
  </si>
  <si>
    <t>17/10/2025</t>
  </si>
  <si>
    <t>TỔNG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</si>
  <si>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</si>
  <si>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</si>
  <si>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</si>
  <si>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</si>
  <si>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</si>
  <si>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</si>
  <si>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</si>
  <si>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</si>
  <si>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</si>
  <si>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</si>
  <si>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tt</t>
  </si>
  <si>
    <t>SL</t>
  </si>
  <si>
    <t>đ.giá</t>
  </si>
  <si>
    <t>sl</t>
  </si>
  <si>
    <t>ngao</t>
  </si>
  <si>
    <t>nước cốt dừa</t>
  </si>
  <si>
    <t>đ.gia</t>
  </si>
  <si>
    <t>thịt lợn sấn vai bỏ bì</t>
  </si>
  <si>
    <t>trứng vịt</t>
  </si>
  <si>
    <t>quả đỗ</t>
  </si>
  <si>
    <t>củ cải</t>
  </si>
  <si>
    <t>củ cà rốt</t>
  </si>
  <si>
    <t>rau ngót</t>
  </si>
  <si>
    <t>quả thanh long</t>
  </si>
  <si>
    <t>MIẾN</t>
  </si>
  <si>
    <t>MỘC NHĨ</t>
  </si>
  <si>
    <t>Lá nem tròn</t>
  </si>
  <si>
    <t>dầu ăn</t>
  </si>
  <si>
    <t>muối</t>
  </si>
  <si>
    <t>nước mắm</t>
  </si>
  <si>
    <t>bột nêm</t>
  </si>
  <si>
    <t>gạo</t>
  </si>
  <si>
    <t>rau giá đỗ</t>
  </si>
  <si>
    <t>rau cải ngọt</t>
  </si>
  <si>
    <t xml:space="preserve">gừng </t>
  </si>
  <si>
    <t>tỏi ta</t>
  </si>
  <si>
    <t>rau cải chip</t>
  </si>
  <si>
    <t>tép</t>
  </si>
  <si>
    <t>tim cật</t>
  </si>
  <si>
    <t xml:space="preserve">hành khô </t>
  </si>
  <si>
    <t>đỗ xanh</t>
  </si>
  <si>
    <t>chuối chín</t>
  </si>
  <si>
    <t>tôm nõn</t>
  </si>
  <si>
    <t>gà ta bỏ đầu bỏ cổ</t>
  </si>
  <si>
    <t>nấm hương</t>
  </si>
  <si>
    <t xml:space="preserve"> củkhoai tây</t>
  </si>
  <si>
    <t>cá thu cắt khúc</t>
  </si>
  <si>
    <t>cua đồng</t>
  </si>
  <si>
    <t>rau lang</t>
  </si>
  <si>
    <t>quả dưa hấu</t>
  </si>
  <si>
    <t>củ hành tây</t>
  </si>
  <si>
    <t>lườn gà</t>
  </si>
  <si>
    <t>sườn lợn thăn nhiều thịt</t>
  </si>
  <si>
    <t>Ngày</t>
  </si>
  <si>
    <t>Tháng</t>
  </si>
  <si>
    <t>Năm</t>
  </si>
  <si>
    <t>Thời gian</t>
  </si>
  <si>
    <t>Thực phẩm</t>
  </si>
  <si>
    <t>Đơn giá</t>
  </si>
  <si>
    <t>Thành tiền</t>
  </si>
  <si>
    <t>STT</t>
  </si>
  <si>
    <t>Hàng hóa</t>
  </si>
  <si>
    <t>Grand Total</t>
  </si>
  <si>
    <t>Bảng tổng hợp</t>
  </si>
  <si>
    <t>Bước 1</t>
  </si>
  <si>
    <t>Điền Ngày, Tháng, Năm, Thực phẩm, Đơn giá, SL vào sheet Nhập liệu thực phẩm</t>
  </si>
  <si>
    <t>*Bước 1.2</t>
  </si>
  <si>
    <t>Bước 2</t>
  </si>
  <si>
    <t>Vào sheet TỔNG HỢP/ Click chuột phải ở ô bất kỳ trong bảng/Chọn Refresh/Chọn Yes</t>
  </si>
  <si>
    <r>
      <t xml:space="preserve">Ở phần nhập tên Thực phẩm, </t>
    </r>
    <r>
      <rPr>
        <sz val="11"/>
        <color rgb="FFFF0000"/>
        <rFont val="Calibri"/>
        <family val="2"/>
        <scheme val="minor"/>
      </rPr>
      <t xml:space="preserve">nếu bảng báo lỗi </t>
    </r>
    <r>
      <rPr>
        <sz val="11"/>
        <color theme="1"/>
        <rFont val="Calibri"/>
        <family val="2"/>
        <scheme val="minor"/>
      </rPr>
      <t>thì check sheet DS thực phẩm đã có sản phẩm đó chưa. Nếu chưa thì bổ sung tên sản phẩm vào bảng này</t>
    </r>
  </si>
  <si>
    <t>SỔ THEO DÕI THỰC PHẨM HÀNG NGÀY - BẢNG TỔNG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</si>
</sst>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#,##0.0"/>
    <numFmt numFmtId="166" formatCode="dd/mm/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14">
    <xf numFmtId="0" fontId="0" fillId="0" borderId="0" xfId="0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0" fillId="3" borderId="1" xfId="0" applyNumberForma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164" fontId="0" fillId="4" borderId="1" xfId="0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164" fontId="0" fillId="5" borderId="1" xfId="0" applyNumberFormat="1" applyFill="1" applyBorder="1" applyAlignment="1">
      <alignment horizontal="left"/>
    </xf>
    <xf numFmtId="164" fontId="0" fillId="6" borderId="1" xfId="0" applyNumberForma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165" fontId="0" fillId="3" borderId="1" xfId="0" applyNumberFormat="1" applyFill="1" applyBorder="1" applyAlignment="1">
      <alignment horizontal="left"/>
    </xf>
    <xf numFmtId="4" fontId="0" fillId="3" borderId="1" xfId="0" applyNumberFormat="1" applyFill="1" applyBorder="1" applyAlignment="1">
      <alignment horizontal="left"/>
    </xf>
    <xf numFmtId="164" fontId="0" fillId="0" borderId="3" xfId="0" applyNumberFormat="1" applyBorder="1" applyAlignment="1">
      <alignment horizontal="left" vertical="center"/>
    </xf>
    <xf numFmtId="165" fontId="0" fillId="0" borderId="3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/>
    </xf>
    <xf numFmtId="3" fontId="6" fillId="0" borderId="3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left"/>
    </xf>
    <xf numFmtId="3" fontId="0" fillId="7" borderId="3" xfId="0" applyNumberForma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left"/>
    </xf>
    <xf numFmtId="3" fontId="0" fillId="7" borderId="1" xfId="0" applyNumberFormat="1" applyFill="1" applyBorder="1" applyAlignment="1">
      <alignment horizontal="left"/>
    </xf>
    <xf numFmtId="164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4" fontId="2" fillId="7" borderId="1" xfId="0" applyNumberFormat="1" applyFont="1" applyFill="1" applyBorder="1" applyAlignment="1">
      <alignment horizontal="left"/>
    </xf>
    <xf numFmtId="165" fontId="0" fillId="7" borderId="1" xfId="0" applyNumberFormat="1" applyFill="1" applyBorder="1" applyAlignment="1">
      <alignment horizontal="left"/>
    </xf>
    <xf numFmtId="4" fontId="0" fillId="7" borderId="1" xfId="0" applyNumberFormat="1" applyFill="1" applyBorder="1" applyAlignment="1">
      <alignment horizontal="left"/>
    </xf>
    <xf numFmtId="3" fontId="6" fillId="7" borderId="1" xfId="0" applyNumberFormat="1" applyFont="1" applyFill="1" applyBorder="1" applyAlignment="1">
      <alignment horizontal="left"/>
    </xf>
    <xf numFmtId="165" fontId="2" fillId="7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9" fontId="0" fillId="0" borderId="1" xfId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3" fontId="10" fillId="0" borderId="3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vertical="center"/>
    </xf>
    <xf numFmtId="166" fontId="4" fillId="0" borderId="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1" fillId="7" borderId="0" xfId="0" applyFont="1" applyFill="1" applyAlignment="1">
      <alignment horizontal="center" vertical="center" wrapText="1"/>
    </xf>
    <xf numFmtId="166" fontId="11" fillId="7" borderId="0" xfId="0" applyNumberFormat="1" applyFont="1" applyFill="1" applyAlignment="1">
      <alignment horizontal="center" vertical="center" wrapText="1"/>
    </xf>
    <xf numFmtId="3" fontId="11" fillId="7" borderId="0" xfId="0" applyNumberFormat="1" applyFont="1" applyFill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8" borderId="3" xfId="0" applyFill="1" applyBorder="1" applyAlignment="1">
      <alignment horizontal="center" vertical="center" wrapText="1"/>
    </xf>
    <xf numFmtId="3" fontId="0" fillId="8" borderId="3" xfId="0" applyNumberFormat="1" applyFill="1" applyBorder="1" applyAlignment="1">
      <alignment horizontal="center" vertical="center" wrapText="1"/>
    </xf>
    <xf numFmtId="3" fontId="0" fillId="8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4" fontId="0" fillId="8" borderId="3" xfId="0" applyNumberFormat="1" applyFill="1" applyBorder="1" applyAlignment="1">
      <alignment horizontal="center" vertical="center"/>
    </xf>
    <xf numFmtId="4" fontId="0" fillId="8" borderId="3" xfId="0" applyNumberFormat="1" applyFill="1" applyBorder="1" applyAlignment="1">
      <alignment horizontal="center" vertical="center" wrapText="1"/>
    </xf>
    <xf numFmtId="165" fontId="0" fillId="8" borderId="3" xfId="0" applyNumberForma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wrapText="1"/>
    </xf>
    <xf numFmtId="3" fontId="2" fillId="8" borderId="1" xfId="0" applyNumberFormat="1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left"/>
    </xf>
    <xf numFmtId="3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left" vertical="center"/>
    </xf>
    <xf numFmtId="4" fontId="2" fillId="8" borderId="1" xfId="0" applyNumberFormat="1" applyFont="1" applyFill="1" applyBorder="1" applyAlignment="1">
      <alignment horizontal="left"/>
    </xf>
    <xf numFmtId="165" fontId="2" fillId="8" borderId="1" xfId="0" applyNumberFormat="1" applyFon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3" fontId="0" fillId="8" borderId="1" xfId="0" applyNumberFormat="1" applyFill="1" applyBorder="1" applyAlignment="1">
      <alignment horizontal="left"/>
    </xf>
    <xf numFmtId="4" fontId="0" fillId="8" borderId="1" xfId="0" applyNumberFormat="1" applyFill="1" applyBorder="1" applyAlignment="1">
      <alignment horizontal="left"/>
    </xf>
    <xf numFmtId="165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 vertical="center"/>
    </xf>
    <xf numFmtId="0" fontId="11" fillId="5" borderId="0" xfId="0" applyFont="1" applyFill="1" applyAlignment="1">
      <alignment horizontal="center" vertical="center" wrapText="1"/>
    </xf>
    <xf numFmtId="166" fontId="11" fillId="3" borderId="0" xfId="0" applyNumberFormat="1" applyFont="1" applyFill="1" applyAlignment="1">
      <alignment horizontal="center" vertical="center" wrapText="1"/>
    </xf>
    <xf numFmtId="3" fontId="11" fillId="3" borderId="0" xfId="0" applyNumberFormat="1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3" fontId="7" fillId="7" borderId="0" xfId="0" applyNumberFormat="1" applyFont="1" applyFill="1" applyAlignment="1">
      <alignment horizontal="center" vertical="center" wrapText="1"/>
    </xf>
    <xf numFmtId="3" fontId="7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9" fontId="0" fillId="8" borderId="4" xfId="1" applyFont="1" applyFill="1" applyBorder="1" applyAlignment="1">
      <alignment horizontal="center" vertical="center"/>
    </xf>
    <xf numFmtId="9" fontId="0" fillId="8" borderId="5" xfId="1" applyFont="1" applyFill="1" applyBorder="1" applyAlignment="1">
      <alignment horizontal="center" vertical="center"/>
    </xf>
    <xf numFmtId="9" fontId="0" fillId="8" borderId="6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91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</dxf>
    <dxf>
      <font>
        <color rgb="FFFF0000"/>
      </font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color auto="1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nh Huỳnh" refreshedDate="45954.002429976848" createdVersion="8" refreshedVersion="8" minRefreshableVersion="3" recordCount="38" xr:uid="{41EB411D-A903-41BC-9C29-60B2B4553698}">
  <cacheSource type="worksheet">
    <worksheetSource name="Table2"/>
  </cacheSource>
  <cacheFields count="8">
    <cacheField name="Thời gian" numFmtId="166">
      <sharedItems containsSemiMixedTypes="0" containsNonDate="0" containsDate="1" containsString="0" minDate="2025-10-01T00:00:00" maxDate="2025-10-14T00:00:00" count="9">
        <d v="2025-10-01T00:00:00"/>
        <d v="2025-10-10T00:00:00"/>
        <d v="2025-10-03T00:00:00"/>
        <d v="2025-10-06T00:00:00"/>
        <d v="2025-10-08T00:00:00"/>
        <d v="2025-10-09T00:00:00"/>
        <d v="2025-10-13T00:00:00"/>
        <d v="2025-10-07T00:00:00"/>
        <d v="2025-10-02T00:00:00"/>
      </sharedItems>
    </cacheField>
    <cacheField name="Ngày" numFmtId="0">
      <sharedItems containsSemiMixedTypes="0" containsString="0" containsNumber="1" containsInteger="1" minValue="1" maxValue="13"/>
    </cacheField>
    <cacheField name="Tháng" numFmtId="0">
      <sharedItems containsSemiMixedTypes="0" containsString="0" containsNumber="1" containsInteger="1" minValue="10" maxValue="10"/>
    </cacheField>
    <cacheField name="Năm" numFmtId="0">
      <sharedItems containsSemiMixedTypes="0" containsString="0" containsNumber="1" containsInteger="1" minValue="2025" maxValue="2025"/>
    </cacheField>
    <cacheField name="Thực phẩm" numFmtId="0">
      <sharedItems count="15">
        <s v="THỊT BA CHỈ"/>
        <s v="thịt lợn vai"/>
        <s v="thịt bò tươi"/>
        <s v="tôm lớp sống to"/>
        <s v="tôm nõn"/>
        <s v="gà ta bỏ đầu bỏ cổ"/>
        <s v="lườn gà"/>
        <s v="sườn lợn thăn nhiều thịt"/>
        <s v="tép"/>
        <s v="tim cật"/>
        <s v="ngao"/>
        <s v="thịt lợn sấn vai bỏ bì"/>
        <s v="cá thu cắt khúc"/>
        <s v="trứng vịt"/>
        <s v="cua đồng"/>
      </sharedItems>
    </cacheField>
    <cacheField name="Đơn giá" numFmtId="3">
      <sharedItems containsSemiMixedTypes="0" containsString="0" containsNumber="1" containsInteger="1" minValue="21300" maxValue="282000"/>
    </cacheField>
    <cacheField name="SL" numFmtId="0">
      <sharedItems containsSemiMixedTypes="0" containsString="0" containsNumber="1" minValue="0.4" maxValue="13.5"/>
    </cacheField>
    <cacheField name="Thành tiền" numFmtId="3">
      <sharedItems containsSemiMixedTypes="0" containsString="0" containsNumber="1" minValue="35000" maxValue="2109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n v="1"/>
    <n v="10"/>
    <n v="2025"/>
    <x v="0"/>
    <n v="145000"/>
    <n v="9.5"/>
    <n v="1377500"/>
  </r>
  <r>
    <x v="0"/>
    <n v="1"/>
    <n v="10"/>
    <n v="2025"/>
    <x v="1"/>
    <n v="145000"/>
    <n v="4"/>
    <n v="580000"/>
  </r>
  <r>
    <x v="1"/>
    <n v="10"/>
    <n v="10"/>
    <n v="2025"/>
    <x v="1"/>
    <n v="145000"/>
    <n v="11"/>
    <n v="1595000"/>
  </r>
  <r>
    <x v="0"/>
    <n v="1"/>
    <n v="10"/>
    <n v="2025"/>
    <x v="2"/>
    <n v="281300"/>
    <n v="5.3"/>
    <n v="1490890"/>
  </r>
  <r>
    <x v="2"/>
    <n v="3"/>
    <n v="10"/>
    <n v="2025"/>
    <x v="2"/>
    <n v="281300"/>
    <n v="7.3"/>
    <n v="2053490"/>
  </r>
  <r>
    <x v="3"/>
    <n v="6"/>
    <n v="10"/>
    <n v="2025"/>
    <x v="2"/>
    <n v="281300"/>
    <n v="7.5"/>
    <n v="2109750"/>
  </r>
  <r>
    <x v="4"/>
    <n v="8"/>
    <n v="10"/>
    <n v="2025"/>
    <x v="2"/>
    <n v="281300"/>
    <n v="4.7"/>
    <n v="1322110"/>
  </r>
  <r>
    <x v="5"/>
    <n v="9"/>
    <n v="10"/>
    <n v="2025"/>
    <x v="2"/>
    <n v="281300"/>
    <n v="2.2000000000000002"/>
    <n v="618860"/>
  </r>
  <r>
    <x v="6"/>
    <n v="13"/>
    <n v="10"/>
    <n v="2025"/>
    <x v="2"/>
    <n v="282000"/>
    <n v="6.5"/>
    <n v="1833000"/>
  </r>
  <r>
    <x v="0"/>
    <n v="1"/>
    <n v="10"/>
    <n v="2025"/>
    <x v="3"/>
    <n v="262500"/>
    <n v="2"/>
    <n v="525000"/>
  </r>
  <r>
    <x v="2"/>
    <n v="3"/>
    <n v="10"/>
    <n v="2025"/>
    <x v="3"/>
    <n v="262500"/>
    <n v="1"/>
    <n v="262500"/>
  </r>
  <r>
    <x v="7"/>
    <n v="7"/>
    <n v="10"/>
    <n v="2025"/>
    <x v="3"/>
    <n v="262500"/>
    <n v="4.5"/>
    <n v="1181250"/>
  </r>
  <r>
    <x v="4"/>
    <n v="8"/>
    <n v="10"/>
    <n v="2025"/>
    <x v="4"/>
    <n v="272000"/>
    <n v="1"/>
    <n v="272000"/>
  </r>
  <r>
    <x v="4"/>
    <n v="8"/>
    <n v="10"/>
    <n v="2025"/>
    <x v="5"/>
    <n v="152500"/>
    <n v="5"/>
    <n v="762500"/>
  </r>
  <r>
    <x v="1"/>
    <n v="10"/>
    <n v="10"/>
    <n v="2025"/>
    <x v="5"/>
    <n v="152500"/>
    <n v="5.7"/>
    <n v="869250"/>
  </r>
  <r>
    <x v="6"/>
    <n v="13"/>
    <n v="10"/>
    <n v="2025"/>
    <x v="6"/>
    <n v="67000"/>
    <n v="3"/>
    <n v="201000"/>
  </r>
  <r>
    <x v="6"/>
    <n v="13"/>
    <n v="10"/>
    <n v="2025"/>
    <x v="7"/>
    <n v="142000"/>
    <n v="2.2000000000000002"/>
    <n v="312400"/>
  </r>
  <r>
    <x v="3"/>
    <n v="6"/>
    <n v="10"/>
    <n v="2025"/>
    <x v="8"/>
    <n v="181300"/>
    <n v="2.2000000000000002"/>
    <n v="398860.00000000006"/>
  </r>
  <r>
    <x v="7"/>
    <n v="7"/>
    <n v="10"/>
    <n v="2025"/>
    <x v="8"/>
    <n v="181300"/>
    <n v="2"/>
    <n v="362600"/>
  </r>
  <r>
    <x v="6"/>
    <n v="13"/>
    <n v="10"/>
    <n v="2025"/>
    <x v="8"/>
    <n v="182000"/>
    <n v="2"/>
    <n v="364000"/>
  </r>
  <r>
    <x v="3"/>
    <n v="6"/>
    <n v="10"/>
    <n v="2025"/>
    <x v="9"/>
    <n v="218800"/>
    <n v="2.7"/>
    <n v="590760"/>
  </r>
  <r>
    <x v="0"/>
    <n v="1"/>
    <n v="10"/>
    <n v="2025"/>
    <x v="10"/>
    <n v="21300"/>
    <n v="9"/>
    <n v="191700"/>
  </r>
  <r>
    <x v="5"/>
    <n v="9"/>
    <n v="10"/>
    <n v="2025"/>
    <x v="10"/>
    <n v="23800"/>
    <n v="9"/>
    <n v="214200"/>
  </r>
  <r>
    <x v="8"/>
    <n v="2"/>
    <n v="10"/>
    <n v="2025"/>
    <x v="11"/>
    <n v="128800"/>
    <n v="13.5"/>
    <n v="1738800"/>
  </r>
  <r>
    <x v="2"/>
    <n v="3"/>
    <n v="10"/>
    <n v="2025"/>
    <x v="11"/>
    <n v="128800"/>
    <n v="8"/>
    <n v="1030400"/>
  </r>
  <r>
    <x v="3"/>
    <n v="6"/>
    <n v="10"/>
    <n v="2025"/>
    <x v="11"/>
    <n v="128800"/>
    <n v="8"/>
    <n v="1030400"/>
  </r>
  <r>
    <x v="7"/>
    <n v="7"/>
    <n v="10"/>
    <n v="2025"/>
    <x v="11"/>
    <n v="128800"/>
    <n v="12.5"/>
    <n v="1610000"/>
  </r>
  <r>
    <x v="4"/>
    <n v="8"/>
    <n v="10"/>
    <n v="2025"/>
    <x v="11"/>
    <n v="128800"/>
    <n v="12"/>
    <n v="1545600"/>
  </r>
  <r>
    <x v="5"/>
    <n v="9"/>
    <n v="10"/>
    <n v="2025"/>
    <x v="11"/>
    <n v="128800"/>
    <n v="12.5"/>
    <n v="1610000"/>
  </r>
  <r>
    <x v="1"/>
    <n v="10"/>
    <n v="10"/>
    <n v="2025"/>
    <x v="11"/>
    <n v="128800"/>
    <n v="6"/>
    <n v="772800"/>
  </r>
  <r>
    <x v="6"/>
    <n v="13"/>
    <n v="10"/>
    <n v="2025"/>
    <x v="11"/>
    <n v="125000"/>
    <n v="6.8"/>
    <n v="850000"/>
  </r>
  <r>
    <x v="8"/>
    <n v="2"/>
    <n v="10"/>
    <n v="2025"/>
    <x v="12"/>
    <n v="259400"/>
    <n v="4.5"/>
    <n v="1167300"/>
  </r>
  <r>
    <x v="5"/>
    <n v="9"/>
    <n v="10"/>
    <n v="2025"/>
    <x v="12"/>
    <n v="259400"/>
    <n v="4"/>
    <n v="1037600"/>
  </r>
  <r>
    <x v="8"/>
    <n v="2"/>
    <n v="10"/>
    <n v="2025"/>
    <x v="13"/>
    <n v="70000"/>
    <n v="0.5"/>
    <n v="35000"/>
  </r>
  <r>
    <x v="5"/>
    <n v="9"/>
    <n v="10"/>
    <n v="2025"/>
    <x v="13"/>
    <n v="70000"/>
    <n v="2.4"/>
    <n v="168000"/>
  </r>
  <r>
    <x v="1"/>
    <n v="10"/>
    <n v="10"/>
    <n v="2025"/>
    <x v="13"/>
    <n v="70000"/>
    <n v="2.8"/>
    <n v="196000"/>
  </r>
  <r>
    <x v="5"/>
    <n v="9"/>
    <n v="10"/>
    <n v="2025"/>
    <x v="14"/>
    <n v="200000"/>
    <n v="0.4"/>
    <n v="80000"/>
  </r>
  <r>
    <x v="1"/>
    <n v="10"/>
    <n v="10"/>
    <n v="2025"/>
    <x v="14"/>
    <n v="200000"/>
    <n v="2.1"/>
    <n v="4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3824A-37B5-4803-9E7D-D94C7A75C506}" name="Bảng tổng hợp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Ngày" colHeaderCaption="Thực phẩm">
  <location ref="A4:Q15" firstHeaderRow="1" firstDataRow="2" firstDataCol="1"/>
  <pivotFields count="8">
    <pivotField axis="axisRow" numFmtId="166" showAll="0">
      <items count="10">
        <item x="0"/>
        <item x="8"/>
        <item x="2"/>
        <item x="3"/>
        <item x="7"/>
        <item x="4"/>
        <item x="5"/>
        <item x="1"/>
        <item x="6"/>
        <item t="default"/>
      </items>
    </pivotField>
    <pivotField showAll="0"/>
    <pivotField showAll="0"/>
    <pivotField showAll="0"/>
    <pivotField axis="axisCol" showAll="0" sortType="descending">
      <items count="16">
        <item x="13"/>
        <item x="4"/>
        <item x="3"/>
        <item x="9"/>
        <item x="1"/>
        <item x="11"/>
        <item x="2"/>
        <item x="0"/>
        <item x="8"/>
        <item x="7"/>
        <item x="10"/>
        <item x="6"/>
        <item x="5"/>
        <item x="14"/>
        <item x="12"/>
        <item t="default"/>
      </items>
    </pivotField>
    <pivotField numFmtId="3" showAll="0"/>
    <pivotField showAll="0"/>
    <pivotField dataField="1" numFmtId="3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Bảng tổng hợp" fld="7" baseField="0" baseItem="0" numFmtId="3"/>
  </dataFields>
  <formats count="73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4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0" type="button" dataOnly="0" labelOnly="1" outline="0" axis="axisRow" fieldPosition="0"/>
    </format>
    <format dxfId="71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4" count="0"/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4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0" type="button" dataOnly="0" labelOnly="1" outline="0" axis="axisRow" fieldPosition="0"/>
    </format>
    <format dxfId="62">
      <pivotArea dataOnly="0" labelOnly="1" fieldPosition="0">
        <references count="1">
          <reference field="0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4" count="0"/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4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4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type="all" dataOnly="0" outline="0" fieldPosition="0"/>
    </format>
    <format dxfId="40">
      <pivotArea field="4" type="button" dataOnly="0" labelOnly="1" outline="0" axis="axisCol" fieldPosition="0"/>
    </format>
    <format dxfId="39">
      <pivotArea field="0" type="button" dataOnly="0" labelOnly="1" outline="0" axis="axisRow" fieldPosition="0"/>
    </format>
    <format dxfId="38">
      <pivotArea field="4" type="button" dataOnly="0" labelOnly="1" outline="0" axis="axisCol" fieldPosition="0"/>
    </format>
    <format dxfId="37">
      <pivotArea field="4" type="button" dataOnly="0" labelOnly="1" outline="0" axis="axisCol" fieldPosition="0"/>
    </format>
    <format dxfId="36">
      <pivotArea field="0" type="button" dataOnly="0" labelOnly="1" outline="0" axis="axisRow" fieldPosition="0"/>
    </format>
    <format dxfId="35">
      <pivotArea field="4" type="button" dataOnly="0" labelOnly="1" outline="0" axis="axisCol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4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4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4" count="0"/>
        </references>
      </pivotArea>
    </format>
    <format dxfId="16">
      <pivotArea field="4" type="button" dataOnly="0" labelOnly="1" outline="0" axis="axisCol" fieldPosition="0"/>
    </format>
    <format dxfId="15">
      <pivotArea field="0" type="button" dataOnly="0" labelOnly="1" outline="0" axis="axisRow" fieldPosition="0"/>
    </format>
    <format dxfId="14">
      <pivotArea type="origin" dataOnly="0" labelOnly="1" outline="0" fieldPosition="0"/>
    </format>
    <format dxfId="13">
      <pivotArea field="4" type="button" dataOnly="0" labelOnly="1" outline="0" axis="axisCol" fieldPosition="0"/>
    </format>
    <format dxfId="12">
      <pivotArea type="topRight" dataOnly="0" labelOnly="1" outline="0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Col="1" outline="0" fieldPosition="0"/>
    </format>
    <format dxfId="6">
      <pivotArea grandCol="1" outline="0" collapsedLevelsAreSubtotals="1" fieldPosition="0"/>
    </format>
    <format dxfId="5">
      <pivotArea grandCol="1" outline="0" collapsedLevelsAreSubtotals="1" fieldPosition="0"/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DCFF4C-BC85-4BA2-82B7-345BA01718F6}" name="Table2" displayName="Table2" ref="A2:H40" totalsRowShown="0" headerRowDxfId="90" dataDxfId="88" headerRowBorderDxfId="89" tableBorderDxfId="87" totalsRowBorderDxfId="86">
  <autoFilter ref="A2:H40" xr:uid="{2CDCFF4C-BC85-4BA2-82B7-345BA01718F6}"/>
  <tableColumns count="8">
    <tableColumn id="1" xr3:uid="{532DAC7A-B5B0-45C6-94C3-045EDAEAF4FB}" name="Thời gian" dataDxfId="85">
      <calculatedColumnFormula>DATE(D3,C3,B3)</calculatedColumnFormula>
    </tableColumn>
    <tableColumn id="2" xr3:uid="{0DB8B87A-7F9E-4068-9CAF-63DC48A05F86}" name="Ngày" dataDxfId="84"/>
    <tableColumn id="3" xr3:uid="{7FE1F362-D187-4342-8E50-77714BB6DDD4}" name="Tháng" dataDxfId="83"/>
    <tableColumn id="4" xr3:uid="{9ABAA7FE-EE3A-414E-9F65-3AB7099ABCDC}" name="Năm" dataDxfId="82"/>
    <tableColumn id="5" xr3:uid="{BE39B375-271D-44B9-AEBE-5C4609639B07}" name="Thực phẩm" dataDxfId="81"/>
    <tableColumn id="6" xr3:uid="{C7F514DB-D826-4C45-8C71-5F2A836294A2}" name="Đơn giá" dataDxfId="80"/>
    <tableColumn id="7" xr3:uid="{959F1B97-FD84-448B-AE26-329AFCFB1774}" name="SL" dataDxfId="79"/>
    <tableColumn id="8" xr3:uid="{717F8905-2B6F-44F8-B857-5F984C40A0AB}" name="Thành tiền" dataDxfId="78">
      <calculatedColumnFormula>Table2[[#This Row],[SL]]*Table2[[#This Row],[Đơn giá]]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71A93-070F-4411-8984-9DD43AB8BF20}" name="DS" displayName="DS" ref="A1:B50" totalsRowShown="0" headerRowDxfId="4" dataDxfId="3">
  <autoFilter ref="A1:B50" xr:uid="{6E971A93-070F-4411-8984-9DD43AB8BF20}"/>
  <tableColumns count="2">
    <tableColumn id="1" xr3:uid="{8C7CE0B2-8F47-4672-B4F4-8F55F5DB1DC7}" name="STT" dataDxfId="2">
      <calculatedColumnFormula>ROW()-1</calculatedColumnFormula>
    </tableColumn>
    <tableColumn id="2" xr3:uid="{A8DD8124-4F5E-4037-9B32-80A0AB5F9EF4}" name="Hàng hó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0B95-2847-4314-B35F-16D94EAEFF67}">
  <dimension ref="A1:ER26"/>
  <sheetViews>
    <sheetView tabSelected="1" workbookViewId="0">
      <selection activeCell="I7" sqref="I7"/>
    </sheetView>
  </sheetViews>
  <sheetFormatPr defaultRowHeight="14.5" x14ac:dyDescent="0.35"/>
  <cols>
    <col min="1" max="1" width="11.7265625" customWidth="1"/>
  </cols>
  <sheetData>
    <row r="1" spans="1:148" x14ac:dyDescent="0.35">
      <c r="A1" s="9" t="s">
        <v>0</v>
      </c>
      <c r="B1" s="113" t="s">
        <v>1</v>
      </c>
      <c r="C1" s="113"/>
      <c r="D1" s="113"/>
      <c r="E1" s="106" t="s">
        <v>7</v>
      </c>
      <c r="F1" s="106"/>
      <c r="G1" s="106"/>
      <c r="H1" s="106" t="s">
        <v>3</v>
      </c>
      <c r="I1" s="106"/>
      <c r="J1" s="106"/>
      <c r="K1" s="106" t="s">
        <v>5</v>
      </c>
      <c r="L1" s="106"/>
      <c r="M1" s="106"/>
      <c r="N1" s="107" t="s">
        <v>61</v>
      </c>
      <c r="O1" s="108"/>
      <c r="P1" s="109"/>
      <c r="Q1" s="110" t="s">
        <v>62</v>
      </c>
      <c r="R1" s="111"/>
      <c r="S1" s="112"/>
      <c r="T1" s="110" t="s">
        <v>70</v>
      </c>
      <c r="U1" s="111"/>
      <c r="V1" s="112"/>
      <c r="W1" s="110" t="s">
        <v>71</v>
      </c>
      <c r="X1" s="111"/>
      <c r="Y1" s="112"/>
      <c r="Z1" s="107" t="s">
        <v>56</v>
      </c>
      <c r="AA1" s="108"/>
      <c r="AB1" s="109"/>
      <c r="AC1" s="107" t="s">
        <v>57</v>
      </c>
      <c r="AD1" s="108"/>
      <c r="AE1" s="109"/>
      <c r="AF1" s="106" t="s">
        <v>33</v>
      </c>
      <c r="AG1" s="106"/>
      <c r="AH1" s="106"/>
      <c r="AI1" s="106" t="s">
        <v>36</v>
      </c>
      <c r="AJ1" s="106"/>
      <c r="AK1" s="106"/>
      <c r="AL1" s="106" t="s">
        <v>65</v>
      </c>
      <c r="AM1" s="106"/>
      <c r="AN1" s="106"/>
      <c r="AO1" s="106" t="s">
        <v>37</v>
      </c>
      <c r="AP1" s="106"/>
      <c r="AQ1" s="106"/>
      <c r="AR1" s="107" t="s">
        <v>66</v>
      </c>
      <c r="AS1" s="108"/>
      <c r="AT1" s="109"/>
      <c r="AU1" s="102" t="s">
        <v>11</v>
      </c>
      <c r="AV1" s="102"/>
      <c r="AW1" s="102"/>
      <c r="AX1" s="102" t="s">
        <v>2</v>
      </c>
      <c r="AY1" s="102"/>
      <c r="AZ1" s="102"/>
      <c r="BA1" s="102" t="s">
        <v>4</v>
      </c>
      <c r="BB1" s="102"/>
      <c r="BC1" s="102"/>
      <c r="BD1" s="102" t="s">
        <v>9</v>
      </c>
      <c r="BE1" s="102"/>
      <c r="BF1" s="102"/>
      <c r="BG1" s="102" t="s">
        <v>6</v>
      </c>
      <c r="BH1" s="102"/>
      <c r="BI1" s="102"/>
      <c r="BJ1" s="103" t="s">
        <v>67</v>
      </c>
      <c r="BK1" s="104"/>
      <c r="BL1" s="105"/>
      <c r="BM1" s="102" t="s">
        <v>10</v>
      </c>
      <c r="BN1" s="102"/>
      <c r="BO1" s="102"/>
      <c r="BP1" s="102" t="s">
        <v>38</v>
      </c>
      <c r="BQ1" s="102"/>
      <c r="BR1" s="102"/>
      <c r="BS1" s="102" t="s">
        <v>39</v>
      </c>
      <c r="BT1" s="102"/>
      <c r="BU1" s="102"/>
      <c r="BV1" s="102" t="s">
        <v>40</v>
      </c>
      <c r="BW1" s="102"/>
      <c r="BX1" s="102"/>
      <c r="BY1" s="102" t="s">
        <v>41</v>
      </c>
      <c r="BZ1" s="102"/>
      <c r="CA1" s="102"/>
      <c r="CB1" s="102" t="s">
        <v>64</v>
      </c>
      <c r="CC1" s="102"/>
      <c r="CD1" s="102"/>
      <c r="CE1" s="102" t="s">
        <v>51</v>
      </c>
      <c r="CF1" s="102"/>
      <c r="CG1" s="102"/>
      <c r="CH1" s="102" t="s">
        <v>52</v>
      </c>
      <c r="CI1" s="102"/>
      <c r="CJ1" s="102"/>
      <c r="CK1" s="103" t="s">
        <v>55</v>
      </c>
      <c r="CL1" s="104"/>
      <c r="CM1" s="105"/>
      <c r="CN1" s="103" t="s">
        <v>69</v>
      </c>
      <c r="CO1" s="104"/>
      <c r="CP1" s="105"/>
      <c r="CQ1" s="102" t="s">
        <v>42</v>
      </c>
      <c r="CR1" s="102"/>
      <c r="CS1" s="102"/>
      <c r="CT1" s="103" t="s">
        <v>60</v>
      </c>
      <c r="CU1" s="104"/>
      <c r="CV1" s="105"/>
      <c r="CW1" s="103" t="s">
        <v>68</v>
      </c>
      <c r="CX1" s="104"/>
      <c r="CY1" s="105"/>
      <c r="CZ1" s="102" t="s">
        <v>8</v>
      </c>
      <c r="DA1" s="102"/>
      <c r="DB1" s="102"/>
      <c r="DC1" s="102" t="s">
        <v>34</v>
      </c>
      <c r="DD1" s="102"/>
      <c r="DE1" s="102"/>
      <c r="DF1" s="102" t="s">
        <v>43</v>
      </c>
      <c r="DG1" s="102"/>
      <c r="DH1" s="102"/>
      <c r="DI1" s="102" t="s">
        <v>44</v>
      </c>
      <c r="DJ1" s="102"/>
      <c r="DK1" s="102"/>
      <c r="DL1" s="103" t="s">
        <v>63</v>
      </c>
      <c r="DM1" s="104"/>
      <c r="DN1" s="105"/>
      <c r="DO1" s="103" t="s">
        <v>59</v>
      </c>
      <c r="DP1" s="104"/>
      <c r="DQ1" s="105"/>
      <c r="DR1" s="102" t="s">
        <v>45</v>
      </c>
      <c r="DS1" s="102"/>
      <c r="DT1" s="102"/>
      <c r="DU1" s="102" t="s">
        <v>53</v>
      </c>
      <c r="DV1" s="102"/>
      <c r="DW1" s="102"/>
      <c r="DX1" s="102" t="s">
        <v>54</v>
      </c>
      <c r="DY1" s="102"/>
      <c r="DZ1" s="102"/>
      <c r="EA1" s="103" t="s">
        <v>58</v>
      </c>
      <c r="EB1" s="104"/>
      <c r="EC1" s="105"/>
      <c r="ED1" s="102" t="s">
        <v>46</v>
      </c>
      <c r="EE1" s="102"/>
      <c r="EF1" s="102"/>
      <c r="EG1" s="102" t="s">
        <v>47</v>
      </c>
      <c r="EH1" s="102"/>
      <c r="EI1" s="102"/>
      <c r="EJ1" s="102" t="s">
        <v>48</v>
      </c>
      <c r="EK1" s="102"/>
      <c r="EL1" s="102"/>
      <c r="EM1" s="102" t="s">
        <v>49</v>
      </c>
      <c r="EN1" s="102"/>
      <c r="EO1" s="102"/>
      <c r="EP1" s="102" t="s">
        <v>50</v>
      </c>
      <c r="EQ1" s="102"/>
      <c r="ER1" s="102"/>
    </row>
    <row r="2" spans="1:148" x14ac:dyDescent="0.35">
      <c r="A2" s="24"/>
      <c r="B2" s="74" t="s">
        <v>30</v>
      </c>
      <c r="C2" s="75" t="s">
        <v>31</v>
      </c>
      <c r="D2" s="75" t="s">
        <v>29</v>
      </c>
      <c r="E2" s="74" t="s">
        <v>32</v>
      </c>
      <c r="F2" s="76" t="s">
        <v>31</v>
      </c>
      <c r="G2" s="76" t="s">
        <v>29</v>
      </c>
      <c r="H2" s="77" t="s">
        <v>32</v>
      </c>
      <c r="I2" s="76" t="s">
        <v>31</v>
      </c>
      <c r="J2" s="76" t="s">
        <v>29</v>
      </c>
      <c r="K2" s="77" t="s">
        <v>32</v>
      </c>
      <c r="L2" s="76" t="s">
        <v>31</v>
      </c>
      <c r="M2" s="76" t="s">
        <v>29</v>
      </c>
      <c r="N2" s="77" t="s">
        <v>32</v>
      </c>
      <c r="O2" s="76" t="s">
        <v>31</v>
      </c>
      <c r="P2" s="76" t="s">
        <v>29</v>
      </c>
      <c r="Q2" s="78" t="s">
        <v>32</v>
      </c>
      <c r="R2" s="76" t="s">
        <v>31</v>
      </c>
      <c r="S2" s="76" t="s">
        <v>29</v>
      </c>
      <c r="T2" s="78" t="s">
        <v>32</v>
      </c>
      <c r="U2" s="76" t="s">
        <v>31</v>
      </c>
      <c r="V2" s="76" t="s">
        <v>29</v>
      </c>
      <c r="W2" s="78" t="s">
        <v>32</v>
      </c>
      <c r="X2" s="76" t="s">
        <v>31</v>
      </c>
      <c r="Y2" s="76" t="s">
        <v>29</v>
      </c>
      <c r="Z2" s="78" t="s">
        <v>32</v>
      </c>
      <c r="AA2" s="76" t="s">
        <v>31</v>
      </c>
      <c r="AB2" s="76" t="s">
        <v>29</v>
      </c>
      <c r="AC2" s="78" t="s">
        <v>32</v>
      </c>
      <c r="AD2" s="76" t="s">
        <v>31</v>
      </c>
      <c r="AE2" s="76" t="s">
        <v>29</v>
      </c>
      <c r="AF2" s="77" t="s">
        <v>32</v>
      </c>
      <c r="AG2" s="76" t="s">
        <v>35</v>
      </c>
      <c r="AH2" s="76" t="s">
        <v>29</v>
      </c>
      <c r="AI2" s="79" t="s">
        <v>30</v>
      </c>
      <c r="AJ2" s="75" t="s">
        <v>31</v>
      </c>
      <c r="AK2" s="75" t="s">
        <v>29</v>
      </c>
      <c r="AL2" s="80" t="s">
        <v>30</v>
      </c>
      <c r="AM2" s="75" t="s">
        <v>31</v>
      </c>
      <c r="AN2" s="75" t="s">
        <v>29</v>
      </c>
      <c r="AO2" s="79" t="s">
        <v>30</v>
      </c>
      <c r="AP2" s="75" t="s">
        <v>31</v>
      </c>
      <c r="AQ2" s="75" t="s">
        <v>29</v>
      </c>
      <c r="AR2" s="79" t="s">
        <v>30</v>
      </c>
      <c r="AS2" s="75" t="s">
        <v>31</v>
      </c>
      <c r="AT2" s="75" t="s">
        <v>29</v>
      </c>
      <c r="AU2" s="16" t="s">
        <v>32</v>
      </c>
      <c r="AV2" s="17" t="s">
        <v>35</v>
      </c>
      <c r="AW2" s="17" t="s">
        <v>29</v>
      </c>
      <c r="AX2" s="16" t="s">
        <v>32</v>
      </c>
      <c r="AY2" s="17" t="s">
        <v>31</v>
      </c>
      <c r="AZ2" s="17" t="s">
        <v>29</v>
      </c>
      <c r="BA2" s="16" t="s">
        <v>32</v>
      </c>
      <c r="BB2" s="17" t="s">
        <v>31</v>
      </c>
      <c r="BC2" s="17" t="s">
        <v>29</v>
      </c>
      <c r="BD2" s="16" t="s">
        <v>32</v>
      </c>
      <c r="BE2" s="17" t="s">
        <v>35</v>
      </c>
      <c r="BF2" s="17" t="s">
        <v>29</v>
      </c>
      <c r="BG2" s="25" t="s">
        <v>32</v>
      </c>
      <c r="BH2" s="17" t="s">
        <v>35</v>
      </c>
      <c r="BI2" s="17" t="s">
        <v>29</v>
      </c>
      <c r="BJ2" s="26" t="s">
        <v>32</v>
      </c>
      <c r="BK2" s="17" t="s">
        <v>35</v>
      </c>
      <c r="BL2" s="28" t="s">
        <v>29</v>
      </c>
      <c r="BM2" s="25" t="s">
        <v>32</v>
      </c>
      <c r="BN2" s="17" t="s">
        <v>35</v>
      </c>
      <c r="BO2" s="17" t="s">
        <v>29</v>
      </c>
      <c r="BP2" s="16" t="s">
        <v>32</v>
      </c>
      <c r="BQ2" s="17" t="s">
        <v>35</v>
      </c>
      <c r="BR2" s="17" t="s">
        <v>29</v>
      </c>
      <c r="BS2" s="16" t="s">
        <v>32</v>
      </c>
      <c r="BT2" s="17" t="s">
        <v>35</v>
      </c>
      <c r="BU2" s="17" t="s">
        <v>29</v>
      </c>
      <c r="BV2" s="25" t="s">
        <v>32</v>
      </c>
      <c r="BW2" s="17" t="s">
        <v>35</v>
      </c>
      <c r="BX2" s="17" t="s">
        <v>29</v>
      </c>
      <c r="BY2" s="16" t="s">
        <v>32</v>
      </c>
      <c r="BZ2" s="17" t="s">
        <v>35</v>
      </c>
      <c r="CA2" s="17" t="s">
        <v>29</v>
      </c>
      <c r="CB2" s="25" t="s">
        <v>32</v>
      </c>
      <c r="CC2" s="17" t="s">
        <v>35</v>
      </c>
      <c r="CD2" s="17" t="s">
        <v>29</v>
      </c>
      <c r="CE2" s="25" t="s">
        <v>32</v>
      </c>
      <c r="CF2" s="17" t="s">
        <v>35</v>
      </c>
      <c r="CG2" s="17" t="s">
        <v>29</v>
      </c>
      <c r="CH2" s="26" t="s">
        <v>32</v>
      </c>
      <c r="CI2" s="17" t="s">
        <v>35</v>
      </c>
      <c r="CJ2" s="17" t="s">
        <v>29</v>
      </c>
      <c r="CK2" s="16" t="s">
        <v>32</v>
      </c>
      <c r="CL2" s="17" t="s">
        <v>35</v>
      </c>
      <c r="CM2" s="17" t="s">
        <v>29</v>
      </c>
      <c r="CN2" s="25" t="s">
        <v>32</v>
      </c>
      <c r="CO2" s="17" t="s">
        <v>35</v>
      </c>
      <c r="CP2" s="30" t="s">
        <v>29</v>
      </c>
      <c r="CQ2" s="16" t="s">
        <v>32</v>
      </c>
      <c r="CR2" s="17" t="s">
        <v>35</v>
      </c>
      <c r="CS2" s="17" t="s">
        <v>29</v>
      </c>
      <c r="CT2" s="16" t="s">
        <v>32</v>
      </c>
      <c r="CU2" s="17" t="s">
        <v>35</v>
      </c>
      <c r="CV2" s="17" t="s">
        <v>29</v>
      </c>
      <c r="CW2" s="16" t="s">
        <v>32</v>
      </c>
      <c r="CX2" s="17" t="s">
        <v>35</v>
      </c>
      <c r="CY2" s="17" t="s">
        <v>29</v>
      </c>
      <c r="CZ2" s="25" t="s">
        <v>32</v>
      </c>
      <c r="DA2" s="17" t="s">
        <v>35</v>
      </c>
      <c r="DB2" s="17" t="s">
        <v>29</v>
      </c>
      <c r="DC2" s="16" t="s">
        <v>32</v>
      </c>
      <c r="DD2" s="17" t="s">
        <v>35</v>
      </c>
      <c r="DE2" s="17" t="s">
        <v>29</v>
      </c>
      <c r="DF2" s="26" t="s">
        <v>32</v>
      </c>
      <c r="DG2" s="17" t="s">
        <v>35</v>
      </c>
      <c r="DH2" s="17" t="s">
        <v>29</v>
      </c>
      <c r="DI2" s="26" t="s">
        <v>32</v>
      </c>
      <c r="DJ2" s="17" t="s">
        <v>35</v>
      </c>
      <c r="DK2" s="17" t="s">
        <v>29</v>
      </c>
      <c r="DL2" s="26" t="s">
        <v>32</v>
      </c>
      <c r="DM2" s="17" t="s">
        <v>35</v>
      </c>
      <c r="DN2" s="17" t="s">
        <v>29</v>
      </c>
      <c r="DO2" s="26" t="s">
        <v>32</v>
      </c>
      <c r="DP2" s="17" t="s">
        <v>35</v>
      </c>
      <c r="DQ2" s="17" t="s">
        <v>29</v>
      </c>
      <c r="DR2" s="26" t="s">
        <v>32</v>
      </c>
      <c r="DS2" s="17" t="s">
        <v>35</v>
      </c>
      <c r="DT2" s="17" t="s">
        <v>29</v>
      </c>
      <c r="DU2" s="25" t="s">
        <v>32</v>
      </c>
      <c r="DV2" s="17" t="s">
        <v>35</v>
      </c>
      <c r="DW2" s="17" t="s">
        <v>29</v>
      </c>
      <c r="DX2" s="25" t="s">
        <v>32</v>
      </c>
      <c r="DY2" s="17" t="s">
        <v>35</v>
      </c>
      <c r="DZ2" s="17" t="s">
        <v>29</v>
      </c>
      <c r="EA2" s="26" t="s">
        <v>32</v>
      </c>
      <c r="EB2" s="17" t="s">
        <v>35</v>
      </c>
      <c r="EC2" s="17" t="s">
        <v>29</v>
      </c>
      <c r="ED2" s="16" t="s">
        <v>32</v>
      </c>
      <c r="EE2" s="17" t="s">
        <v>35</v>
      </c>
      <c r="EF2" s="17" t="s">
        <v>29</v>
      </c>
      <c r="EG2" s="16" t="s">
        <v>32</v>
      </c>
      <c r="EH2" s="17" t="s">
        <v>35</v>
      </c>
      <c r="EI2" s="17" t="s">
        <v>29</v>
      </c>
      <c r="EJ2" s="16" t="s">
        <v>32</v>
      </c>
      <c r="EK2" s="17" t="s">
        <v>35</v>
      </c>
      <c r="EL2" s="17" t="s">
        <v>29</v>
      </c>
      <c r="EM2" s="16" t="s">
        <v>32</v>
      </c>
      <c r="EN2" s="17" t="s">
        <v>35</v>
      </c>
      <c r="EO2" s="17" t="s">
        <v>29</v>
      </c>
      <c r="EP2" s="16" t="s">
        <v>32</v>
      </c>
      <c r="EQ2" s="17" t="s">
        <v>35</v>
      </c>
      <c r="ER2" s="17" t="s">
        <v>29</v>
      </c>
    </row>
    <row r="3" spans="1:148" x14ac:dyDescent="0.35">
      <c r="A3" s="10">
        <v>45667</v>
      </c>
      <c r="B3" s="81">
        <v>9.5</v>
      </c>
      <c r="C3" s="82">
        <v>145000</v>
      </c>
      <c r="D3" s="82">
        <f>B3*C3</f>
        <v>1377500</v>
      </c>
      <c r="E3" s="83">
        <v>4</v>
      </c>
      <c r="F3" s="84">
        <v>145000</v>
      </c>
      <c r="G3" s="84">
        <f>E3*F3</f>
        <v>580000</v>
      </c>
      <c r="H3" s="83">
        <v>5.3</v>
      </c>
      <c r="I3" s="84">
        <v>281300</v>
      </c>
      <c r="J3" s="84">
        <f>H3*I3</f>
        <v>1490890</v>
      </c>
      <c r="K3" s="85">
        <v>2</v>
      </c>
      <c r="L3" s="84">
        <v>262500</v>
      </c>
      <c r="M3" s="84">
        <f>K3*L3</f>
        <v>525000</v>
      </c>
      <c r="N3" s="84"/>
      <c r="O3" s="84"/>
      <c r="P3" s="84">
        <f>N3*O3</f>
        <v>0</v>
      </c>
      <c r="Q3" s="86"/>
      <c r="R3" s="84"/>
      <c r="S3" s="84">
        <f>Q3*R3</f>
        <v>0</v>
      </c>
      <c r="T3" s="84"/>
      <c r="U3" s="84"/>
      <c r="V3" s="84">
        <f>T3*U3</f>
        <v>0</v>
      </c>
      <c r="W3" s="84"/>
      <c r="X3" s="84"/>
      <c r="Y3" s="84">
        <f>W3*X3</f>
        <v>0</v>
      </c>
      <c r="Z3" s="86"/>
      <c r="AA3" s="84"/>
      <c r="AB3" s="84">
        <f>Z3*AA3</f>
        <v>0</v>
      </c>
      <c r="AC3" s="86"/>
      <c r="AD3" s="84"/>
      <c r="AE3" s="84">
        <f>AC3*AD3</f>
        <v>0</v>
      </c>
      <c r="AF3" s="83">
        <v>9</v>
      </c>
      <c r="AG3" s="84">
        <v>21300</v>
      </c>
      <c r="AH3" s="84">
        <f>AF3*AG3</f>
        <v>191700</v>
      </c>
      <c r="AI3" s="86"/>
      <c r="AJ3" s="84"/>
      <c r="AK3" s="84"/>
      <c r="AL3" s="87"/>
      <c r="AM3" s="84"/>
      <c r="AN3" s="84"/>
      <c r="AO3" s="86"/>
      <c r="AP3" s="84"/>
      <c r="AQ3" s="84"/>
      <c r="AR3" s="84"/>
      <c r="AS3" s="84"/>
      <c r="AT3" s="84">
        <f>AR3*AS3</f>
        <v>0</v>
      </c>
      <c r="AU3" s="8">
        <v>1.4</v>
      </c>
      <c r="AV3" s="6">
        <v>75000</v>
      </c>
      <c r="AW3" s="6">
        <f>AU3*AV3</f>
        <v>105000</v>
      </c>
      <c r="AX3" s="8">
        <v>2.7</v>
      </c>
      <c r="AY3" s="6">
        <v>62500</v>
      </c>
      <c r="AZ3" s="6">
        <f>AX3*AY3</f>
        <v>168750</v>
      </c>
      <c r="BA3" s="8">
        <v>18.3</v>
      </c>
      <c r="BB3" s="6">
        <v>16300</v>
      </c>
      <c r="BC3" s="6">
        <f>BA3*BB3</f>
        <v>298290</v>
      </c>
      <c r="BD3" s="8">
        <v>2.5</v>
      </c>
      <c r="BE3" s="6">
        <v>35000</v>
      </c>
      <c r="BF3" s="6">
        <f>BD3*BE3</f>
        <v>87500</v>
      </c>
      <c r="BG3" s="18">
        <v>3</v>
      </c>
      <c r="BH3" s="6">
        <v>22500</v>
      </c>
      <c r="BI3" s="6">
        <f>BG3*BH3</f>
        <v>67500</v>
      </c>
      <c r="BJ3" s="19"/>
      <c r="BK3" s="6"/>
      <c r="BL3" s="27">
        <f>BJ3*BK3</f>
        <v>0</v>
      </c>
      <c r="BM3" s="18">
        <v>0.5</v>
      </c>
      <c r="BN3" s="6">
        <v>43800</v>
      </c>
      <c r="BO3" s="6">
        <f>BM3*BN3</f>
        <v>21900</v>
      </c>
      <c r="BP3" s="6"/>
      <c r="BQ3" s="6"/>
      <c r="BR3" s="6"/>
      <c r="BS3" s="6"/>
      <c r="BT3" s="6"/>
      <c r="BU3" s="6"/>
      <c r="BV3" s="18"/>
      <c r="BW3" s="6"/>
      <c r="BX3" s="6">
        <f>BV3*BW3</f>
        <v>0</v>
      </c>
      <c r="BY3" s="6"/>
      <c r="BZ3" s="6"/>
      <c r="CA3" s="6">
        <f>BY3*BZ3</f>
        <v>0</v>
      </c>
      <c r="CB3" s="18"/>
      <c r="CC3" s="6"/>
      <c r="CD3" s="6">
        <f>CB3*CC3</f>
        <v>0</v>
      </c>
      <c r="CE3" s="18"/>
      <c r="CF3" s="6"/>
      <c r="CG3" s="6">
        <f>CE3*CF3</f>
        <v>0</v>
      </c>
      <c r="CH3" s="19"/>
      <c r="CI3" s="6"/>
      <c r="CJ3" s="6">
        <f>CH3*CI3</f>
        <v>0</v>
      </c>
      <c r="CK3" s="6"/>
      <c r="CL3" s="6"/>
      <c r="CM3" s="6">
        <f>CK3*CL3</f>
        <v>0</v>
      </c>
      <c r="CN3" s="18"/>
      <c r="CO3" s="6"/>
      <c r="CP3" s="31">
        <f>CN3*CO3</f>
        <v>0</v>
      </c>
      <c r="CQ3" s="6"/>
      <c r="CR3" s="6"/>
      <c r="CS3" s="6">
        <f>CQ3*CR3</f>
        <v>0</v>
      </c>
      <c r="CT3" s="6"/>
      <c r="CU3" s="6"/>
      <c r="CV3" s="6">
        <f>CT3*CU3</f>
        <v>0</v>
      </c>
      <c r="CW3" s="6"/>
      <c r="CX3" s="6"/>
      <c r="CY3" s="6">
        <f>CW3*CX3</f>
        <v>0</v>
      </c>
      <c r="CZ3" s="18">
        <v>2</v>
      </c>
      <c r="DA3" s="6">
        <v>37200</v>
      </c>
      <c r="DB3" s="6">
        <f>CZ3*DA3</f>
        <v>74400</v>
      </c>
      <c r="DC3" s="8">
        <v>2</v>
      </c>
      <c r="DD3" s="6">
        <v>29800</v>
      </c>
      <c r="DE3" s="6">
        <f>DC3*DD3</f>
        <v>59600</v>
      </c>
      <c r="DF3" s="19"/>
      <c r="DG3" s="6"/>
      <c r="DH3" s="6">
        <f>DF3*DG3</f>
        <v>0</v>
      </c>
      <c r="DI3" s="19"/>
      <c r="DJ3" s="6"/>
      <c r="DK3" s="6">
        <f>DI3*DJ3</f>
        <v>0</v>
      </c>
      <c r="DL3" s="19"/>
      <c r="DM3" s="6"/>
      <c r="DN3" s="6">
        <f>DL3*DM3</f>
        <v>0</v>
      </c>
      <c r="DO3" s="6"/>
      <c r="DP3" s="6"/>
      <c r="DQ3" s="6">
        <f>DO3*DP3</f>
        <v>0</v>
      </c>
      <c r="DR3" s="19"/>
      <c r="DS3" s="6"/>
      <c r="DT3" s="6">
        <f>DR3*DS3</f>
        <v>0</v>
      </c>
      <c r="DU3" s="18"/>
      <c r="DV3" s="6"/>
      <c r="DW3" s="6">
        <f>DU3*DV3</f>
        <v>0</v>
      </c>
      <c r="DX3" s="18"/>
      <c r="DY3" s="6"/>
      <c r="DZ3" s="6">
        <f>DX3*DY3</f>
        <v>0</v>
      </c>
      <c r="EA3" s="19"/>
      <c r="EB3" s="6"/>
      <c r="EC3" s="6">
        <f>EA3*EB3</f>
        <v>0</v>
      </c>
      <c r="ED3" s="6"/>
      <c r="EE3" s="6"/>
      <c r="EF3" s="6">
        <f>ED3*EE3</f>
        <v>0</v>
      </c>
      <c r="EG3" s="6"/>
      <c r="EH3" s="6"/>
      <c r="EI3" s="6">
        <f>EG3*EH3</f>
        <v>0</v>
      </c>
      <c r="EJ3" s="6"/>
      <c r="EK3" s="6"/>
      <c r="EL3" s="6">
        <f>EJ3*EK3</f>
        <v>0</v>
      </c>
      <c r="EM3" s="6"/>
      <c r="EN3" s="6"/>
      <c r="EO3" s="6">
        <f>EM3*EN3</f>
        <v>0</v>
      </c>
      <c r="EP3" s="6"/>
      <c r="EQ3" s="6"/>
      <c r="ER3" s="6">
        <f>EP3*EQ3</f>
        <v>0</v>
      </c>
    </row>
    <row r="4" spans="1:148" x14ac:dyDescent="0.35">
      <c r="A4" s="11">
        <v>45698</v>
      </c>
      <c r="B4" s="88"/>
      <c r="C4" s="89"/>
      <c r="D4" s="82">
        <f t="shared" ref="D4:D10" si="0">B4*C4</f>
        <v>0</v>
      </c>
      <c r="E4" s="89"/>
      <c r="F4" s="88"/>
      <c r="G4" s="84">
        <f t="shared" ref="G4:G10" si="1">E4*F4</f>
        <v>0</v>
      </c>
      <c r="H4" s="88"/>
      <c r="I4" s="84"/>
      <c r="J4" s="84">
        <f t="shared" ref="J4:J11" si="2">H4*I4</f>
        <v>0</v>
      </c>
      <c r="K4" s="89"/>
      <c r="L4" s="88"/>
      <c r="M4" s="84">
        <f t="shared" ref="M4:M20" si="3">K4*L4</f>
        <v>0</v>
      </c>
      <c r="N4" s="84"/>
      <c r="O4" s="84"/>
      <c r="P4" s="84">
        <f t="shared" ref="P4:P16" si="4">N4*O4</f>
        <v>0</v>
      </c>
      <c r="Q4" s="86"/>
      <c r="R4" s="84"/>
      <c r="S4" s="84">
        <f t="shared" ref="S4:S17" si="5">Q4*R4</f>
        <v>0</v>
      </c>
      <c r="T4" s="84"/>
      <c r="U4" s="84"/>
      <c r="V4" s="84">
        <f t="shared" ref="V4:V14" si="6">T4*U4</f>
        <v>0</v>
      </c>
      <c r="W4" s="84"/>
      <c r="X4" s="84"/>
      <c r="Y4" s="84">
        <f t="shared" ref="Y4:Y13" si="7">W4*X4</f>
        <v>0</v>
      </c>
      <c r="Z4" s="86"/>
      <c r="AA4" s="84"/>
      <c r="AB4" s="84">
        <f t="shared" ref="AB4:AB11" si="8">Z4*AA4</f>
        <v>0</v>
      </c>
      <c r="AC4" s="86"/>
      <c r="AD4" s="84"/>
      <c r="AE4" s="84">
        <f t="shared" ref="AE4:AE8" si="9">AC4*AD4</f>
        <v>0</v>
      </c>
      <c r="AF4" s="88"/>
      <c r="AG4" s="89"/>
      <c r="AH4" s="84">
        <f t="shared" ref="AH4:AH9" si="10">AF4*AG4</f>
        <v>0</v>
      </c>
      <c r="AI4" s="90">
        <v>13.5</v>
      </c>
      <c r="AJ4" s="89">
        <v>128800</v>
      </c>
      <c r="AK4" s="89">
        <f>AI4*AJ4</f>
        <v>1738800</v>
      </c>
      <c r="AL4" s="91">
        <v>4.5</v>
      </c>
      <c r="AM4" s="89">
        <v>259400</v>
      </c>
      <c r="AN4" s="89">
        <f>AL4*AM4</f>
        <v>1167300</v>
      </c>
      <c r="AO4" s="90">
        <v>0.5</v>
      </c>
      <c r="AP4" s="89">
        <v>70000</v>
      </c>
      <c r="AQ4" s="89">
        <f>AO4*AP4</f>
        <v>35000</v>
      </c>
      <c r="AR4" s="89"/>
      <c r="AS4" s="89"/>
      <c r="AT4" s="84">
        <f t="shared" ref="AT4:AT13" si="11">AR4*AS4</f>
        <v>0</v>
      </c>
      <c r="AU4" s="1"/>
      <c r="AV4" s="6"/>
      <c r="AW4" s="6">
        <f t="shared" ref="AW4:AW11" si="12">AU4*AV4</f>
        <v>0</v>
      </c>
      <c r="AX4" s="5"/>
      <c r="AY4" s="1"/>
      <c r="AZ4" s="6">
        <f t="shared" ref="AZ4:AZ8" si="13">AX4*AY4</f>
        <v>0</v>
      </c>
      <c r="BA4" s="1"/>
      <c r="BB4" s="6"/>
      <c r="BC4" s="6">
        <f t="shared" ref="BC4:BC7" si="14">BA4*BB4</f>
        <v>0</v>
      </c>
      <c r="BD4" s="1">
        <v>3.5</v>
      </c>
      <c r="BE4" s="5">
        <v>35000</v>
      </c>
      <c r="BF4" s="6">
        <f t="shared" ref="BF4:BF11" si="15">BD4*BE4</f>
        <v>122500</v>
      </c>
      <c r="BG4" s="20"/>
      <c r="BH4" s="5"/>
      <c r="BI4" s="6">
        <f t="shared" ref="BI4:BI11" si="16">BG4*BH4</f>
        <v>0</v>
      </c>
      <c r="BJ4" s="19"/>
      <c r="BK4" s="6"/>
      <c r="BL4" s="27">
        <f t="shared" ref="BL4:BL9" si="17">BJ4*BK4</f>
        <v>0</v>
      </c>
      <c r="BM4" s="18">
        <v>0.4</v>
      </c>
      <c r="BN4" s="6">
        <v>43800</v>
      </c>
      <c r="BO4" s="5">
        <f>BM4*BN4</f>
        <v>17520</v>
      </c>
      <c r="BP4" s="6">
        <v>2</v>
      </c>
      <c r="BQ4" s="6">
        <v>37500</v>
      </c>
      <c r="BR4" s="5">
        <f>BP4*BQ4</f>
        <v>75000</v>
      </c>
      <c r="BS4" s="6">
        <v>17</v>
      </c>
      <c r="BT4" s="6">
        <v>16300</v>
      </c>
      <c r="BU4" s="5">
        <f>BS4*BT4</f>
        <v>277100</v>
      </c>
      <c r="BV4" s="18">
        <v>2.5</v>
      </c>
      <c r="BW4" s="6">
        <v>20000</v>
      </c>
      <c r="BX4" s="6">
        <f t="shared" ref="BX4:BX11" si="18">BV4*BW4</f>
        <v>50000</v>
      </c>
      <c r="BY4" s="6">
        <v>1</v>
      </c>
      <c r="BZ4" s="6">
        <v>43800</v>
      </c>
      <c r="CA4" s="6">
        <f t="shared" ref="CA4:CA11" si="19">BY4*BZ4</f>
        <v>43800</v>
      </c>
      <c r="CB4" s="18"/>
      <c r="CC4" s="6"/>
      <c r="CD4" s="6">
        <f t="shared" ref="CD4:CD25" si="20">CB4*CC4</f>
        <v>0</v>
      </c>
      <c r="CE4" s="18"/>
      <c r="CF4" s="6"/>
      <c r="CG4" s="6">
        <f t="shared" ref="CG4:CG25" si="21">CE4*CF4</f>
        <v>0</v>
      </c>
      <c r="CH4" s="19"/>
      <c r="CI4" s="6"/>
      <c r="CJ4" s="6">
        <f t="shared" ref="CJ4:CJ25" si="22">CH4*CI4</f>
        <v>0</v>
      </c>
      <c r="CK4" s="6"/>
      <c r="CL4" s="6"/>
      <c r="CM4" s="6">
        <f t="shared" ref="CM4:CM7" si="23">CK4*CL4</f>
        <v>0</v>
      </c>
      <c r="CN4" s="18"/>
      <c r="CO4" s="6"/>
      <c r="CP4" s="31">
        <f t="shared" ref="CP4:CP12" si="24">CN4*CO4</f>
        <v>0</v>
      </c>
      <c r="CQ4" s="6">
        <v>17</v>
      </c>
      <c r="CR4" s="6">
        <v>31300</v>
      </c>
      <c r="CS4" s="6">
        <f t="shared" ref="CS4:CS7" si="25">CQ4*CR4</f>
        <v>532100</v>
      </c>
      <c r="CT4" s="6"/>
      <c r="CU4" s="6"/>
      <c r="CV4" s="6">
        <f t="shared" ref="CV4:CV7" si="26">CT4*CU4</f>
        <v>0</v>
      </c>
      <c r="CW4" s="6"/>
      <c r="CX4" s="6"/>
      <c r="CY4" s="6">
        <f t="shared" ref="CY4:CY10" si="27">CW4*CX4</f>
        <v>0</v>
      </c>
      <c r="CZ4" s="20"/>
      <c r="DA4" s="6"/>
      <c r="DB4" s="6">
        <f t="shared" ref="DB4:DB11" si="28">CZ4*DA4</f>
        <v>0</v>
      </c>
      <c r="DC4" s="5"/>
      <c r="DD4" s="6"/>
      <c r="DE4" s="6">
        <f t="shared" ref="DE4:DE8" si="29">DC4*DD4</f>
        <v>0</v>
      </c>
      <c r="DF4" s="21">
        <v>0.5</v>
      </c>
      <c r="DG4" s="5">
        <v>89600</v>
      </c>
      <c r="DH4" s="6">
        <f t="shared" ref="DH4:DH10" si="30">DF4*DG4</f>
        <v>44800</v>
      </c>
      <c r="DI4" s="21">
        <v>0.1</v>
      </c>
      <c r="DJ4" s="5">
        <v>113900</v>
      </c>
      <c r="DK4" s="6">
        <f t="shared" ref="DK4:DK10" si="31">DI4*DJ4</f>
        <v>11390</v>
      </c>
      <c r="DL4" s="19"/>
      <c r="DM4" s="6"/>
      <c r="DN4" s="6">
        <f t="shared" ref="DN4:DN12" si="32">DL4*DM4</f>
        <v>0</v>
      </c>
      <c r="DO4" s="5"/>
      <c r="DP4" s="5"/>
      <c r="DQ4" s="6">
        <f t="shared" ref="DQ4:DQ8" si="33">DO4*DP4</f>
        <v>0</v>
      </c>
      <c r="DR4" s="21">
        <v>0.35</v>
      </c>
      <c r="DS4" s="5">
        <v>58300</v>
      </c>
      <c r="DT4" s="6">
        <f t="shared" ref="DT4:DT10" si="34">DR4*DS4</f>
        <v>20405</v>
      </c>
      <c r="DU4" s="20"/>
      <c r="DV4" s="5"/>
      <c r="DW4" s="6">
        <f t="shared" ref="DW4:DW11" si="35">DU4*DV4</f>
        <v>0</v>
      </c>
      <c r="DX4" s="20"/>
      <c r="DY4" s="5"/>
      <c r="DZ4" s="6">
        <f t="shared" ref="DZ4:DZ11" si="36">DX4*DY4</f>
        <v>0</v>
      </c>
      <c r="EA4" s="19"/>
      <c r="EB4" s="6"/>
      <c r="EC4" s="6">
        <f t="shared" ref="EC4:EC11" si="37">EA4*EB4</f>
        <v>0</v>
      </c>
      <c r="ED4" s="5">
        <v>40</v>
      </c>
      <c r="EE4" s="5">
        <v>48700</v>
      </c>
      <c r="EF4" s="6">
        <f t="shared" ref="EF4:EF6" si="38">ED4*EE4</f>
        <v>1948000</v>
      </c>
      <c r="EG4" s="5">
        <v>15</v>
      </c>
      <c r="EH4" s="5">
        <v>4400</v>
      </c>
      <c r="EI4" s="6">
        <f t="shared" ref="EI4:EI5" si="39">EG4*EH4</f>
        <v>66000</v>
      </c>
      <c r="EJ4" s="5">
        <v>5</v>
      </c>
      <c r="EK4" s="5">
        <v>38000</v>
      </c>
      <c r="EL4" s="6">
        <f t="shared" ref="EL4:EL6" si="40">EJ4*EK4</f>
        <v>190000</v>
      </c>
      <c r="EM4" s="5">
        <v>6</v>
      </c>
      <c r="EN4" s="5">
        <v>58500</v>
      </c>
      <c r="EO4" s="6">
        <f t="shared" ref="EO4:EO6" si="41">EM4*EN4</f>
        <v>351000</v>
      </c>
      <c r="EP4" s="5">
        <v>800</v>
      </c>
      <c r="EQ4" s="5">
        <v>17500</v>
      </c>
      <c r="ER4" s="6">
        <f t="shared" ref="ER4:ER9" si="42">EP4*EQ4</f>
        <v>14000000</v>
      </c>
    </row>
    <row r="5" spans="1:148" x14ac:dyDescent="0.35">
      <c r="A5" s="15">
        <v>45726</v>
      </c>
      <c r="B5" s="88"/>
      <c r="C5" s="89"/>
      <c r="D5" s="82">
        <f t="shared" si="0"/>
        <v>0</v>
      </c>
      <c r="E5" s="88"/>
      <c r="F5" s="89"/>
      <c r="G5" s="84">
        <f t="shared" si="1"/>
        <v>0</v>
      </c>
      <c r="H5" s="88">
        <v>7.3</v>
      </c>
      <c r="I5" s="84">
        <v>281300</v>
      </c>
      <c r="J5" s="84">
        <f t="shared" si="2"/>
        <v>2053490</v>
      </c>
      <c r="K5" s="92">
        <v>1</v>
      </c>
      <c r="L5" s="89">
        <v>262500</v>
      </c>
      <c r="M5" s="84">
        <f t="shared" si="3"/>
        <v>262500</v>
      </c>
      <c r="N5" s="84"/>
      <c r="O5" s="84"/>
      <c r="P5" s="84">
        <f t="shared" si="4"/>
        <v>0</v>
      </c>
      <c r="Q5" s="86"/>
      <c r="R5" s="84"/>
      <c r="S5" s="84">
        <f t="shared" si="5"/>
        <v>0</v>
      </c>
      <c r="T5" s="84"/>
      <c r="U5" s="84"/>
      <c r="V5" s="84">
        <f t="shared" si="6"/>
        <v>0</v>
      </c>
      <c r="W5" s="84"/>
      <c r="X5" s="84"/>
      <c r="Y5" s="84">
        <f t="shared" si="7"/>
        <v>0</v>
      </c>
      <c r="Z5" s="86"/>
      <c r="AA5" s="84"/>
      <c r="AB5" s="84">
        <f t="shared" si="8"/>
        <v>0</v>
      </c>
      <c r="AC5" s="86"/>
      <c r="AD5" s="84"/>
      <c r="AE5" s="84">
        <f t="shared" si="9"/>
        <v>0</v>
      </c>
      <c r="AF5" s="88"/>
      <c r="AG5" s="89"/>
      <c r="AH5" s="84">
        <f t="shared" si="10"/>
        <v>0</v>
      </c>
      <c r="AI5" s="90">
        <v>8</v>
      </c>
      <c r="AJ5" s="89">
        <v>128800</v>
      </c>
      <c r="AK5" s="89">
        <f t="shared" ref="AK5:AK18" si="43">AI5*AJ5</f>
        <v>1030400</v>
      </c>
      <c r="AL5" s="91"/>
      <c r="AM5" s="89"/>
      <c r="AN5" s="89">
        <f t="shared" ref="AN5:AN12" si="44">AL5*AM5</f>
        <v>0</v>
      </c>
      <c r="AO5" s="90"/>
      <c r="AP5" s="89"/>
      <c r="AQ5" s="89">
        <f t="shared" ref="AQ5:AQ10" si="45">AO5*AP5</f>
        <v>0</v>
      </c>
      <c r="AR5" s="89"/>
      <c r="AS5" s="89"/>
      <c r="AT5" s="84">
        <f t="shared" si="11"/>
        <v>0</v>
      </c>
      <c r="AU5" s="1"/>
      <c r="AV5" s="6"/>
      <c r="AW5" s="6">
        <f t="shared" si="12"/>
        <v>0</v>
      </c>
      <c r="AX5" s="1"/>
      <c r="AY5" s="5"/>
      <c r="AZ5" s="6">
        <f t="shared" si="13"/>
        <v>0</v>
      </c>
      <c r="BA5" s="1"/>
      <c r="BB5" s="6"/>
      <c r="BC5" s="6">
        <f t="shared" si="14"/>
        <v>0</v>
      </c>
      <c r="BD5" s="1">
        <v>6.5</v>
      </c>
      <c r="BE5" s="6">
        <v>35000</v>
      </c>
      <c r="BF5" s="6">
        <f t="shared" si="15"/>
        <v>227500</v>
      </c>
      <c r="BG5" s="20"/>
      <c r="BH5" s="5"/>
      <c r="BI5" s="6">
        <f t="shared" si="16"/>
        <v>0</v>
      </c>
      <c r="BJ5" s="19"/>
      <c r="BK5" s="6"/>
      <c r="BL5" s="27">
        <f t="shared" si="17"/>
        <v>0</v>
      </c>
      <c r="BM5" s="20">
        <v>0.4</v>
      </c>
      <c r="BN5" s="6">
        <v>43800</v>
      </c>
      <c r="BO5" s="6">
        <f>BM5*BN5</f>
        <v>17520</v>
      </c>
      <c r="BP5" s="5"/>
      <c r="BQ5" s="6"/>
      <c r="BR5" s="5">
        <f t="shared" ref="BR5:BR9" si="46">BP5*BQ5</f>
        <v>0</v>
      </c>
      <c r="BS5" s="5"/>
      <c r="BT5" s="5"/>
      <c r="BU5" s="5">
        <f t="shared" ref="BU5:BU10" si="47">BS5*BT5</f>
        <v>0</v>
      </c>
      <c r="BV5" s="20">
        <v>3.5</v>
      </c>
      <c r="BW5" s="6">
        <v>20000</v>
      </c>
      <c r="BX5" s="6">
        <f t="shared" si="18"/>
        <v>70000</v>
      </c>
      <c r="BY5" s="5"/>
      <c r="BZ5" s="5"/>
      <c r="CA5" s="6">
        <f t="shared" si="19"/>
        <v>0</v>
      </c>
      <c r="CB5" s="18">
        <v>3.5</v>
      </c>
      <c r="CC5" s="6">
        <v>20000</v>
      </c>
      <c r="CD5" s="6">
        <f t="shared" si="20"/>
        <v>70000</v>
      </c>
      <c r="CE5" s="18">
        <v>2.8</v>
      </c>
      <c r="CF5" s="6">
        <v>15000</v>
      </c>
      <c r="CG5" s="6">
        <f t="shared" si="21"/>
        <v>42000</v>
      </c>
      <c r="CH5" s="19">
        <v>15</v>
      </c>
      <c r="CI5" s="6">
        <v>27500</v>
      </c>
      <c r="CJ5" s="6">
        <f t="shared" si="22"/>
        <v>412500</v>
      </c>
      <c r="CK5" s="6"/>
      <c r="CL5" s="6"/>
      <c r="CM5" s="6">
        <f t="shared" si="23"/>
        <v>0</v>
      </c>
      <c r="CN5" s="18"/>
      <c r="CO5" s="6"/>
      <c r="CP5" s="31">
        <f t="shared" si="24"/>
        <v>0</v>
      </c>
      <c r="CQ5" s="5"/>
      <c r="CR5" s="5"/>
      <c r="CS5" s="6">
        <f t="shared" si="25"/>
        <v>0</v>
      </c>
      <c r="CT5" s="6"/>
      <c r="CU5" s="6"/>
      <c r="CV5" s="6">
        <f t="shared" si="26"/>
        <v>0</v>
      </c>
      <c r="CW5" s="6"/>
      <c r="CX5" s="6"/>
      <c r="CY5" s="6">
        <f t="shared" si="27"/>
        <v>0</v>
      </c>
      <c r="CZ5" s="20">
        <v>3.5</v>
      </c>
      <c r="DA5" s="6">
        <v>37200</v>
      </c>
      <c r="DB5" s="6">
        <f t="shared" si="28"/>
        <v>130200</v>
      </c>
      <c r="DC5" s="1"/>
      <c r="DD5" s="6"/>
      <c r="DE5" s="6">
        <f t="shared" si="29"/>
        <v>0</v>
      </c>
      <c r="DF5" s="21"/>
      <c r="DG5" s="5"/>
      <c r="DH5" s="6">
        <f t="shared" si="30"/>
        <v>0</v>
      </c>
      <c r="DI5" s="21"/>
      <c r="DJ5" s="5"/>
      <c r="DK5" s="6">
        <f t="shared" si="31"/>
        <v>0</v>
      </c>
      <c r="DL5" s="19"/>
      <c r="DM5" s="6"/>
      <c r="DN5" s="6">
        <f t="shared" si="32"/>
        <v>0</v>
      </c>
      <c r="DO5" s="5"/>
      <c r="DP5" s="5"/>
      <c r="DQ5" s="6">
        <f t="shared" si="33"/>
        <v>0</v>
      </c>
      <c r="DR5" s="21"/>
      <c r="DS5" s="5"/>
      <c r="DT5" s="6">
        <f t="shared" si="34"/>
        <v>0</v>
      </c>
      <c r="DU5" s="20">
        <v>0.1</v>
      </c>
      <c r="DV5" s="5">
        <v>43800</v>
      </c>
      <c r="DW5" s="6">
        <f t="shared" si="35"/>
        <v>4380</v>
      </c>
      <c r="DX5" s="20">
        <v>0.1</v>
      </c>
      <c r="DY5" s="5">
        <v>56300</v>
      </c>
      <c r="DZ5" s="6">
        <f t="shared" si="36"/>
        <v>5630</v>
      </c>
      <c r="EA5" s="19"/>
      <c r="EB5" s="6"/>
      <c r="EC5" s="6">
        <f t="shared" si="37"/>
        <v>0</v>
      </c>
      <c r="ED5" s="5"/>
      <c r="EE5" s="5"/>
      <c r="EF5" s="6">
        <f t="shared" si="38"/>
        <v>0</v>
      </c>
      <c r="EG5" s="5"/>
      <c r="EH5" s="5"/>
      <c r="EI5" s="6">
        <f t="shared" si="39"/>
        <v>0</v>
      </c>
      <c r="EJ5" s="5"/>
      <c r="EK5" s="5"/>
      <c r="EL5" s="6">
        <f t="shared" si="40"/>
        <v>0</v>
      </c>
      <c r="EM5" s="5"/>
      <c r="EN5" s="5"/>
      <c r="EO5" s="6">
        <f t="shared" si="41"/>
        <v>0</v>
      </c>
      <c r="EP5" s="5"/>
      <c r="EQ5" s="5"/>
      <c r="ER5" s="6">
        <f t="shared" si="42"/>
        <v>0</v>
      </c>
    </row>
    <row r="6" spans="1:148" x14ac:dyDescent="0.35">
      <c r="A6" s="15">
        <v>45818</v>
      </c>
      <c r="B6" s="88"/>
      <c r="C6" s="89"/>
      <c r="D6" s="82">
        <f t="shared" si="0"/>
        <v>0</v>
      </c>
      <c r="E6" s="88"/>
      <c r="F6" s="89"/>
      <c r="G6" s="84">
        <f t="shared" si="1"/>
        <v>0</v>
      </c>
      <c r="H6" s="88">
        <v>7.5</v>
      </c>
      <c r="I6" s="84">
        <v>281300</v>
      </c>
      <c r="J6" s="84">
        <f t="shared" si="2"/>
        <v>2109750</v>
      </c>
      <c r="K6" s="92"/>
      <c r="L6" s="89">
        <v>262500</v>
      </c>
      <c r="M6" s="84">
        <f t="shared" si="3"/>
        <v>0</v>
      </c>
      <c r="N6" s="84"/>
      <c r="O6" s="84"/>
      <c r="P6" s="84">
        <f t="shared" si="4"/>
        <v>0</v>
      </c>
      <c r="Q6" s="86"/>
      <c r="R6" s="84"/>
      <c r="S6" s="84">
        <f t="shared" si="5"/>
        <v>0</v>
      </c>
      <c r="T6" s="84"/>
      <c r="U6" s="84"/>
      <c r="V6" s="84">
        <f t="shared" si="6"/>
        <v>0</v>
      </c>
      <c r="W6" s="84"/>
      <c r="X6" s="84"/>
      <c r="Y6" s="84">
        <f t="shared" si="7"/>
        <v>0</v>
      </c>
      <c r="Z6" s="86">
        <v>2.2000000000000002</v>
      </c>
      <c r="AA6" s="84">
        <v>181300</v>
      </c>
      <c r="AB6" s="84">
        <f t="shared" si="8"/>
        <v>398860.00000000006</v>
      </c>
      <c r="AC6" s="86">
        <v>2.7</v>
      </c>
      <c r="AD6" s="84">
        <v>218800</v>
      </c>
      <c r="AE6" s="84">
        <f t="shared" si="9"/>
        <v>590760</v>
      </c>
      <c r="AF6" s="88"/>
      <c r="AG6" s="89"/>
      <c r="AH6" s="84">
        <f t="shared" si="10"/>
        <v>0</v>
      </c>
      <c r="AI6" s="90">
        <v>8</v>
      </c>
      <c r="AJ6" s="89">
        <v>128800</v>
      </c>
      <c r="AK6" s="89">
        <f t="shared" si="43"/>
        <v>1030400</v>
      </c>
      <c r="AL6" s="91"/>
      <c r="AM6" s="89"/>
      <c r="AN6" s="89">
        <f t="shared" si="44"/>
        <v>0</v>
      </c>
      <c r="AO6" s="90"/>
      <c r="AP6" s="89"/>
      <c r="AQ6" s="89">
        <f t="shared" si="45"/>
        <v>0</v>
      </c>
      <c r="AR6" s="89"/>
      <c r="AS6" s="89"/>
      <c r="AT6" s="84">
        <f t="shared" si="11"/>
        <v>0</v>
      </c>
      <c r="AU6" s="1"/>
      <c r="AV6" s="6"/>
      <c r="AW6" s="6">
        <f t="shared" si="12"/>
        <v>0</v>
      </c>
      <c r="AX6" s="1"/>
      <c r="AY6" s="5"/>
      <c r="AZ6" s="6">
        <f t="shared" si="13"/>
        <v>0</v>
      </c>
      <c r="BA6" s="1"/>
      <c r="BB6" s="6"/>
      <c r="BC6" s="6">
        <f t="shared" si="14"/>
        <v>0</v>
      </c>
      <c r="BD6" s="1">
        <v>2.5</v>
      </c>
      <c r="BE6" s="6">
        <v>35000</v>
      </c>
      <c r="BF6" s="6">
        <f t="shared" si="15"/>
        <v>87500</v>
      </c>
      <c r="BG6" s="20"/>
      <c r="BH6" s="5"/>
      <c r="BI6" s="6">
        <f t="shared" si="16"/>
        <v>0</v>
      </c>
      <c r="BJ6" s="19"/>
      <c r="BK6" s="6"/>
      <c r="BL6" s="27">
        <f t="shared" si="17"/>
        <v>0</v>
      </c>
      <c r="BM6" s="20">
        <v>0.4</v>
      </c>
      <c r="BN6" s="6">
        <v>43800</v>
      </c>
      <c r="BO6" s="5">
        <f t="shared" ref="BO6:BO11" si="48">BM6*BN6</f>
        <v>17520</v>
      </c>
      <c r="BP6" s="5"/>
      <c r="BQ6" s="6"/>
      <c r="BR6" s="5">
        <f t="shared" si="46"/>
        <v>0</v>
      </c>
      <c r="BS6" s="5"/>
      <c r="BT6" s="5"/>
      <c r="BU6" s="5">
        <f t="shared" si="47"/>
        <v>0</v>
      </c>
      <c r="BV6" s="20"/>
      <c r="BW6" s="6">
        <v>20000</v>
      </c>
      <c r="BX6" s="6">
        <f t="shared" si="18"/>
        <v>0</v>
      </c>
      <c r="BY6" s="5"/>
      <c r="BZ6" s="5"/>
      <c r="CA6" s="6">
        <f t="shared" si="19"/>
        <v>0</v>
      </c>
      <c r="CB6" s="18"/>
      <c r="CC6" s="6"/>
      <c r="CD6" s="6">
        <f t="shared" si="20"/>
        <v>0</v>
      </c>
      <c r="CE6" s="18">
        <v>2.5</v>
      </c>
      <c r="CF6" s="6">
        <v>15000</v>
      </c>
      <c r="CG6" s="6">
        <f t="shared" si="21"/>
        <v>37500</v>
      </c>
      <c r="CH6" s="19"/>
      <c r="CI6" s="6"/>
      <c r="CJ6" s="6">
        <f t="shared" si="22"/>
        <v>0</v>
      </c>
      <c r="CK6" s="6">
        <v>15</v>
      </c>
      <c r="CL6" s="6">
        <v>30000</v>
      </c>
      <c r="CM6" s="6">
        <f t="shared" si="23"/>
        <v>450000</v>
      </c>
      <c r="CN6" s="18"/>
      <c r="CO6" s="6"/>
      <c r="CP6" s="31">
        <f t="shared" si="24"/>
        <v>0</v>
      </c>
      <c r="CQ6" s="5"/>
      <c r="CR6" s="5"/>
      <c r="CS6" s="6">
        <f t="shared" si="25"/>
        <v>0</v>
      </c>
      <c r="CT6" s="6"/>
      <c r="CU6" s="6"/>
      <c r="CV6" s="6">
        <f t="shared" si="26"/>
        <v>0</v>
      </c>
      <c r="CW6" s="6"/>
      <c r="CX6" s="6"/>
      <c r="CY6" s="6">
        <f t="shared" si="27"/>
        <v>0</v>
      </c>
      <c r="CZ6" s="20">
        <v>2</v>
      </c>
      <c r="DA6" s="6">
        <v>37200</v>
      </c>
      <c r="DB6" s="6">
        <f t="shared" si="28"/>
        <v>74400</v>
      </c>
      <c r="DC6" s="1">
        <v>2</v>
      </c>
      <c r="DD6" s="6">
        <v>29800</v>
      </c>
      <c r="DE6" s="6">
        <f t="shared" si="29"/>
        <v>59600</v>
      </c>
      <c r="DF6" s="21"/>
      <c r="DG6" s="5"/>
      <c r="DH6" s="6">
        <f t="shared" si="30"/>
        <v>0</v>
      </c>
      <c r="DI6" s="21"/>
      <c r="DJ6" s="5"/>
      <c r="DK6" s="6">
        <f t="shared" si="31"/>
        <v>0</v>
      </c>
      <c r="DL6" s="19"/>
      <c r="DM6" s="6"/>
      <c r="DN6" s="6">
        <f t="shared" si="32"/>
        <v>0</v>
      </c>
      <c r="DO6" s="5">
        <v>2</v>
      </c>
      <c r="DP6" s="5">
        <v>50000</v>
      </c>
      <c r="DQ6" s="6">
        <f t="shared" si="33"/>
        <v>100000</v>
      </c>
      <c r="DR6" s="21"/>
      <c r="DS6" s="5"/>
      <c r="DT6" s="6">
        <f t="shared" si="34"/>
        <v>0</v>
      </c>
      <c r="DU6" s="20"/>
      <c r="DV6" s="5"/>
      <c r="DW6" s="6">
        <f t="shared" si="35"/>
        <v>0</v>
      </c>
      <c r="DX6" s="20"/>
      <c r="DY6" s="5"/>
      <c r="DZ6" s="6">
        <f t="shared" si="36"/>
        <v>0</v>
      </c>
      <c r="EA6" s="19">
        <v>1.5</v>
      </c>
      <c r="EB6" s="6">
        <v>37500</v>
      </c>
      <c r="EC6" s="6">
        <f t="shared" si="37"/>
        <v>56250</v>
      </c>
      <c r="ED6" s="5"/>
      <c r="EE6" s="5"/>
      <c r="EF6" s="6">
        <f t="shared" si="38"/>
        <v>0</v>
      </c>
      <c r="EG6" s="5"/>
      <c r="EH6" s="5"/>
      <c r="EI6" s="5"/>
      <c r="EJ6" s="5"/>
      <c r="EK6" s="5"/>
      <c r="EL6" s="6">
        <f t="shared" si="40"/>
        <v>0</v>
      </c>
      <c r="EM6" s="5"/>
      <c r="EN6" s="5"/>
      <c r="EO6" s="6">
        <f t="shared" si="41"/>
        <v>0</v>
      </c>
      <c r="EP6" s="5"/>
      <c r="EQ6" s="5"/>
      <c r="ER6" s="6">
        <f t="shared" si="42"/>
        <v>0</v>
      </c>
    </row>
    <row r="7" spans="1:148" x14ac:dyDescent="0.35">
      <c r="A7" s="15">
        <v>45848</v>
      </c>
      <c r="B7" s="88"/>
      <c r="C7" s="89"/>
      <c r="D7" s="82">
        <f t="shared" si="0"/>
        <v>0</v>
      </c>
      <c r="E7" s="88"/>
      <c r="F7" s="89"/>
      <c r="G7" s="84">
        <f t="shared" si="1"/>
        <v>0</v>
      </c>
      <c r="H7" s="88"/>
      <c r="I7" s="84"/>
      <c r="J7" s="84">
        <f t="shared" si="2"/>
        <v>0</v>
      </c>
      <c r="K7" s="92">
        <v>4.5</v>
      </c>
      <c r="L7" s="89">
        <v>262500</v>
      </c>
      <c r="M7" s="84">
        <f t="shared" si="3"/>
        <v>1181250</v>
      </c>
      <c r="N7" s="84"/>
      <c r="O7" s="84"/>
      <c r="P7" s="84">
        <f t="shared" si="4"/>
        <v>0</v>
      </c>
      <c r="Q7" s="86"/>
      <c r="R7" s="84"/>
      <c r="S7" s="84">
        <f t="shared" si="5"/>
        <v>0</v>
      </c>
      <c r="T7" s="84"/>
      <c r="U7" s="84"/>
      <c r="V7" s="84">
        <f t="shared" si="6"/>
        <v>0</v>
      </c>
      <c r="W7" s="84"/>
      <c r="X7" s="84"/>
      <c r="Y7" s="84">
        <f t="shared" si="7"/>
        <v>0</v>
      </c>
      <c r="Z7" s="86">
        <v>2</v>
      </c>
      <c r="AA7" s="84">
        <v>181300</v>
      </c>
      <c r="AB7" s="84">
        <f t="shared" si="8"/>
        <v>362600</v>
      </c>
      <c r="AC7" s="86"/>
      <c r="AD7" s="84"/>
      <c r="AE7" s="84">
        <f t="shared" si="9"/>
        <v>0</v>
      </c>
      <c r="AF7" s="88"/>
      <c r="AG7" s="89"/>
      <c r="AH7" s="84">
        <f t="shared" si="10"/>
        <v>0</v>
      </c>
      <c r="AI7" s="90">
        <v>12.5</v>
      </c>
      <c r="AJ7" s="89">
        <v>128800</v>
      </c>
      <c r="AK7" s="89">
        <f t="shared" si="43"/>
        <v>1610000</v>
      </c>
      <c r="AL7" s="91"/>
      <c r="AM7" s="89"/>
      <c r="AN7" s="89">
        <f t="shared" si="44"/>
        <v>0</v>
      </c>
      <c r="AO7" s="90"/>
      <c r="AP7" s="89"/>
      <c r="AQ7" s="89">
        <f t="shared" si="45"/>
        <v>0</v>
      </c>
      <c r="AR7" s="89"/>
      <c r="AS7" s="89"/>
      <c r="AT7" s="84">
        <f t="shared" si="11"/>
        <v>0</v>
      </c>
      <c r="AU7" s="1">
        <v>1.2</v>
      </c>
      <c r="AV7" s="6">
        <v>75000</v>
      </c>
      <c r="AW7" s="6">
        <f t="shared" si="12"/>
        <v>90000</v>
      </c>
      <c r="AX7" s="1"/>
      <c r="AY7" s="5"/>
      <c r="AZ7" s="6">
        <f t="shared" si="13"/>
        <v>0</v>
      </c>
      <c r="BA7" s="1">
        <v>15</v>
      </c>
      <c r="BB7" s="6">
        <v>16300</v>
      </c>
      <c r="BC7" s="6">
        <f t="shared" si="14"/>
        <v>244500</v>
      </c>
      <c r="BD7" s="1">
        <v>1</v>
      </c>
      <c r="BE7" s="6">
        <v>35000</v>
      </c>
      <c r="BF7" s="6">
        <f t="shared" si="15"/>
        <v>35000</v>
      </c>
      <c r="BG7" s="20"/>
      <c r="BH7" s="5"/>
      <c r="BI7" s="6">
        <f t="shared" si="16"/>
        <v>0</v>
      </c>
      <c r="BJ7" s="19"/>
      <c r="BK7" s="6"/>
      <c r="BL7" s="27">
        <f t="shared" si="17"/>
        <v>0</v>
      </c>
      <c r="BM7" s="20">
        <v>0.4</v>
      </c>
      <c r="BN7" s="6">
        <v>43800</v>
      </c>
      <c r="BO7" s="6">
        <f t="shared" si="48"/>
        <v>17520</v>
      </c>
      <c r="BP7" s="5">
        <v>2.5</v>
      </c>
      <c r="BQ7" s="6">
        <v>37500</v>
      </c>
      <c r="BR7" s="5">
        <f t="shared" si="46"/>
        <v>93750</v>
      </c>
      <c r="BS7" s="5"/>
      <c r="BT7" s="5"/>
      <c r="BU7" s="5">
        <f t="shared" si="47"/>
        <v>0</v>
      </c>
      <c r="BV7" s="20">
        <v>0.5</v>
      </c>
      <c r="BW7" s="6">
        <v>20000</v>
      </c>
      <c r="BX7" s="6">
        <f t="shared" si="18"/>
        <v>10000</v>
      </c>
      <c r="BY7" s="5"/>
      <c r="BZ7" s="5"/>
      <c r="CA7" s="6">
        <f t="shared" si="19"/>
        <v>0</v>
      </c>
      <c r="CB7" s="18">
        <v>2.8</v>
      </c>
      <c r="CC7" s="6">
        <v>20000</v>
      </c>
      <c r="CD7" s="6">
        <f t="shared" si="20"/>
        <v>56000</v>
      </c>
      <c r="CE7" s="18"/>
      <c r="CF7" s="6"/>
      <c r="CG7" s="6">
        <f t="shared" si="21"/>
        <v>0</v>
      </c>
      <c r="CH7" s="19"/>
      <c r="CI7" s="6"/>
      <c r="CJ7" s="6">
        <f t="shared" si="22"/>
        <v>0</v>
      </c>
      <c r="CK7" s="6"/>
      <c r="CL7" s="6"/>
      <c r="CM7" s="6">
        <f t="shared" si="23"/>
        <v>0</v>
      </c>
      <c r="CN7" s="18"/>
      <c r="CO7" s="6"/>
      <c r="CP7" s="31">
        <f t="shared" si="24"/>
        <v>0</v>
      </c>
      <c r="CQ7" s="5"/>
      <c r="CR7" s="5"/>
      <c r="CS7" s="6">
        <f t="shared" si="25"/>
        <v>0</v>
      </c>
      <c r="CT7" s="6">
        <v>25</v>
      </c>
      <c r="CU7" s="6">
        <v>25000</v>
      </c>
      <c r="CV7" s="6">
        <f t="shared" si="26"/>
        <v>625000</v>
      </c>
      <c r="CW7" s="6"/>
      <c r="CX7" s="6"/>
      <c r="CY7" s="6">
        <f t="shared" si="27"/>
        <v>0</v>
      </c>
      <c r="CZ7" s="20"/>
      <c r="DA7" s="6">
        <v>37200</v>
      </c>
      <c r="DB7" s="6">
        <f t="shared" si="28"/>
        <v>0</v>
      </c>
      <c r="DC7" s="1"/>
      <c r="DD7" s="5"/>
      <c r="DE7" s="6">
        <f t="shared" si="29"/>
        <v>0</v>
      </c>
      <c r="DF7" s="21"/>
      <c r="DG7" s="5"/>
      <c r="DH7" s="6">
        <f t="shared" si="30"/>
        <v>0</v>
      </c>
      <c r="DI7" s="21"/>
      <c r="DJ7" s="5"/>
      <c r="DK7" s="6">
        <f t="shared" si="31"/>
        <v>0</v>
      </c>
      <c r="DL7" s="19"/>
      <c r="DM7" s="6"/>
      <c r="DN7" s="6">
        <f t="shared" si="32"/>
        <v>0</v>
      </c>
      <c r="DO7" s="5"/>
      <c r="DP7" s="5"/>
      <c r="DQ7" s="6">
        <f t="shared" si="33"/>
        <v>0</v>
      </c>
      <c r="DR7" s="21"/>
      <c r="DS7" s="5"/>
      <c r="DT7" s="6">
        <f t="shared" si="34"/>
        <v>0</v>
      </c>
      <c r="DU7" s="20"/>
      <c r="DV7" s="5"/>
      <c r="DW7" s="6">
        <f t="shared" si="35"/>
        <v>0</v>
      </c>
      <c r="DX7" s="20"/>
      <c r="DY7" s="5"/>
      <c r="DZ7" s="6">
        <f t="shared" si="36"/>
        <v>0</v>
      </c>
      <c r="EA7" s="19"/>
      <c r="EB7" s="6"/>
      <c r="EC7" s="6">
        <f t="shared" si="37"/>
        <v>0</v>
      </c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6">
        <f t="shared" si="42"/>
        <v>0</v>
      </c>
    </row>
    <row r="8" spans="1:148" x14ac:dyDescent="0.35">
      <c r="A8" s="15">
        <v>45879</v>
      </c>
      <c r="B8" s="88"/>
      <c r="C8" s="89"/>
      <c r="D8" s="82">
        <f t="shared" si="0"/>
        <v>0</v>
      </c>
      <c r="E8" s="88"/>
      <c r="F8" s="89"/>
      <c r="G8" s="84">
        <f t="shared" si="1"/>
        <v>0</v>
      </c>
      <c r="H8" s="88">
        <v>4.7</v>
      </c>
      <c r="I8" s="84">
        <v>281300</v>
      </c>
      <c r="J8" s="84">
        <f t="shared" si="2"/>
        <v>1322110</v>
      </c>
      <c r="K8" s="92"/>
      <c r="L8" s="89"/>
      <c r="M8" s="84">
        <f t="shared" si="3"/>
        <v>0</v>
      </c>
      <c r="N8" s="84">
        <v>1</v>
      </c>
      <c r="O8" s="84">
        <v>272000</v>
      </c>
      <c r="P8" s="84">
        <f t="shared" si="4"/>
        <v>272000</v>
      </c>
      <c r="Q8" s="86">
        <v>5</v>
      </c>
      <c r="R8" s="84">
        <v>152500</v>
      </c>
      <c r="S8" s="84">
        <f t="shared" si="5"/>
        <v>762500</v>
      </c>
      <c r="T8" s="84"/>
      <c r="U8" s="84"/>
      <c r="V8" s="84">
        <f t="shared" si="6"/>
        <v>0</v>
      </c>
      <c r="W8" s="84"/>
      <c r="X8" s="84"/>
      <c r="Y8" s="84">
        <f t="shared" si="7"/>
        <v>0</v>
      </c>
      <c r="Z8" s="86"/>
      <c r="AA8" s="84"/>
      <c r="AB8" s="84">
        <f t="shared" si="8"/>
        <v>0</v>
      </c>
      <c r="AC8" s="86"/>
      <c r="AD8" s="84"/>
      <c r="AE8" s="84">
        <f t="shared" si="9"/>
        <v>0</v>
      </c>
      <c r="AF8" s="88"/>
      <c r="AG8" s="89"/>
      <c r="AH8" s="84">
        <f t="shared" si="10"/>
        <v>0</v>
      </c>
      <c r="AI8" s="90">
        <v>12</v>
      </c>
      <c r="AJ8" s="89">
        <v>128800</v>
      </c>
      <c r="AK8" s="89">
        <f t="shared" si="43"/>
        <v>1545600</v>
      </c>
      <c r="AL8" s="91"/>
      <c r="AM8" s="89"/>
      <c r="AN8" s="89">
        <f t="shared" si="44"/>
        <v>0</v>
      </c>
      <c r="AO8" s="90"/>
      <c r="AP8" s="89"/>
      <c r="AQ8" s="89">
        <f t="shared" si="45"/>
        <v>0</v>
      </c>
      <c r="AR8" s="89"/>
      <c r="AS8" s="89"/>
      <c r="AT8" s="84">
        <f t="shared" si="11"/>
        <v>0</v>
      </c>
      <c r="AU8" s="1">
        <v>0.4</v>
      </c>
      <c r="AV8" s="6">
        <v>75000</v>
      </c>
      <c r="AW8" s="6">
        <f t="shared" si="12"/>
        <v>30000</v>
      </c>
      <c r="AX8" s="1"/>
      <c r="AY8" s="5"/>
      <c r="AZ8" s="6">
        <f t="shared" si="13"/>
        <v>0</v>
      </c>
      <c r="BA8" s="1"/>
      <c r="BB8" s="5"/>
      <c r="BC8" s="5"/>
      <c r="BD8" s="1">
        <v>7</v>
      </c>
      <c r="BE8" s="6">
        <v>35000</v>
      </c>
      <c r="BF8" s="6">
        <f t="shared" si="15"/>
        <v>245000</v>
      </c>
      <c r="BG8" s="20">
        <v>19.3</v>
      </c>
      <c r="BH8" s="5">
        <v>22500</v>
      </c>
      <c r="BI8" s="6">
        <f t="shared" si="16"/>
        <v>434250</v>
      </c>
      <c r="BJ8" s="19"/>
      <c r="BK8" s="6"/>
      <c r="BL8" s="27">
        <f t="shared" si="17"/>
        <v>0</v>
      </c>
      <c r="BM8" s="20">
        <v>0.4</v>
      </c>
      <c r="BN8" s="6">
        <v>43800</v>
      </c>
      <c r="BO8" s="5">
        <f t="shared" si="48"/>
        <v>17520</v>
      </c>
      <c r="BP8" s="5"/>
      <c r="BQ8" s="5"/>
      <c r="BR8" s="5">
        <f t="shared" si="46"/>
        <v>0</v>
      </c>
      <c r="BS8" s="5"/>
      <c r="BT8" s="5"/>
      <c r="BU8" s="5">
        <f t="shared" si="47"/>
        <v>0</v>
      </c>
      <c r="BV8" s="20">
        <v>4</v>
      </c>
      <c r="BW8" s="6">
        <v>20000</v>
      </c>
      <c r="BX8" s="6">
        <f t="shared" si="18"/>
        <v>80000</v>
      </c>
      <c r="BY8" s="5"/>
      <c r="BZ8" s="5"/>
      <c r="CA8" s="6">
        <f t="shared" si="19"/>
        <v>0</v>
      </c>
      <c r="CB8" s="18">
        <v>3.5</v>
      </c>
      <c r="CC8" s="6">
        <v>20000</v>
      </c>
      <c r="CD8" s="6">
        <f t="shared" si="20"/>
        <v>70000</v>
      </c>
      <c r="CE8" s="18"/>
      <c r="CF8" s="6"/>
      <c r="CG8" s="6">
        <f t="shared" si="21"/>
        <v>0</v>
      </c>
      <c r="CH8" s="19">
        <v>3.5</v>
      </c>
      <c r="CI8" s="6">
        <v>25000</v>
      </c>
      <c r="CJ8" s="6">
        <f t="shared" si="22"/>
        <v>87500</v>
      </c>
      <c r="CK8" s="6"/>
      <c r="CL8" s="6"/>
      <c r="CM8" s="6"/>
      <c r="CN8" s="18"/>
      <c r="CO8" s="6"/>
      <c r="CP8" s="31">
        <f t="shared" si="24"/>
        <v>0</v>
      </c>
      <c r="CQ8" s="5"/>
      <c r="CR8" s="5"/>
      <c r="CS8" s="5"/>
      <c r="CT8" s="5"/>
      <c r="CU8" s="5"/>
      <c r="CV8" s="5"/>
      <c r="CW8" s="5"/>
      <c r="CX8" s="5"/>
      <c r="CY8" s="6">
        <f t="shared" si="27"/>
        <v>0</v>
      </c>
      <c r="CZ8" s="20"/>
      <c r="DA8" s="6">
        <v>37200</v>
      </c>
      <c r="DB8" s="6">
        <f t="shared" si="28"/>
        <v>0</v>
      </c>
      <c r="DC8" s="1"/>
      <c r="DD8" s="5"/>
      <c r="DE8" s="6">
        <f t="shared" si="29"/>
        <v>0</v>
      </c>
      <c r="DF8" s="21"/>
      <c r="DG8" s="5"/>
      <c r="DH8" s="6">
        <f t="shared" si="30"/>
        <v>0</v>
      </c>
      <c r="DI8" s="21"/>
      <c r="DJ8" s="5"/>
      <c r="DK8" s="6">
        <f t="shared" si="31"/>
        <v>0</v>
      </c>
      <c r="DL8" s="21">
        <v>0.2</v>
      </c>
      <c r="DM8" s="5">
        <v>316300</v>
      </c>
      <c r="DN8" s="6">
        <f t="shared" si="32"/>
        <v>63260</v>
      </c>
      <c r="DO8" s="5"/>
      <c r="DP8" s="5"/>
      <c r="DQ8" s="6">
        <f t="shared" si="33"/>
        <v>0</v>
      </c>
      <c r="DR8" s="21"/>
      <c r="DS8" s="5"/>
      <c r="DT8" s="6">
        <f t="shared" si="34"/>
        <v>0</v>
      </c>
      <c r="DU8" s="20"/>
      <c r="DV8" s="5"/>
      <c r="DW8" s="6">
        <f t="shared" si="35"/>
        <v>0</v>
      </c>
      <c r="DX8" s="20">
        <v>0.2</v>
      </c>
      <c r="DY8" s="5">
        <v>56300</v>
      </c>
      <c r="DZ8" s="6">
        <f t="shared" si="36"/>
        <v>11260</v>
      </c>
      <c r="EA8" s="19"/>
      <c r="EB8" s="6"/>
      <c r="EC8" s="6">
        <f t="shared" si="37"/>
        <v>0</v>
      </c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6">
        <f t="shared" si="42"/>
        <v>0</v>
      </c>
    </row>
    <row r="9" spans="1:148" x14ac:dyDescent="0.35">
      <c r="A9" s="15">
        <v>45910</v>
      </c>
      <c r="B9" s="88"/>
      <c r="C9" s="89"/>
      <c r="D9" s="82">
        <f t="shared" si="0"/>
        <v>0</v>
      </c>
      <c r="E9" s="88"/>
      <c r="F9" s="89"/>
      <c r="G9" s="84">
        <f t="shared" si="1"/>
        <v>0</v>
      </c>
      <c r="H9" s="88">
        <v>2.2000000000000002</v>
      </c>
      <c r="I9" s="84">
        <v>281300</v>
      </c>
      <c r="J9" s="84">
        <f t="shared" si="2"/>
        <v>618860</v>
      </c>
      <c r="K9" s="92"/>
      <c r="L9" s="89"/>
      <c r="M9" s="84">
        <f t="shared" si="3"/>
        <v>0</v>
      </c>
      <c r="N9" s="84"/>
      <c r="O9" s="84"/>
      <c r="P9" s="84">
        <f t="shared" si="4"/>
        <v>0</v>
      </c>
      <c r="Q9" s="86"/>
      <c r="R9" s="84">
        <v>152500</v>
      </c>
      <c r="S9" s="84">
        <f t="shared" si="5"/>
        <v>0</v>
      </c>
      <c r="T9" s="84"/>
      <c r="U9" s="84"/>
      <c r="V9" s="84">
        <f t="shared" si="6"/>
        <v>0</v>
      </c>
      <c r="W9" s="84"/>
      <c r="X9" s="84"/>
      <c r="Y9" s="84">
        <f t="shared" si="7"/>
        <v>0</v>
      </c>
      <c r="Z9" s="86"/>
      <c r="AA9" s="84"/>
      <c r="AB9" s="84">
        <f t="shared" si="8"/>
        <v>0</v>
      </c>
      <c r="AC9" s="86"/>
      <c r="AD9" s="84"/>
      <c r="AE9" s="84"/>
      <c r="AF9" s="88">
        <v>9</v>
      </c>
      <c r="AG9" s="89">
        <v>23800</v>
      </c>
      <c r="AH9" s="84">
        <f t="shared" si="10"/>
        <v>214200</v>
      </c>
      <c r="AI9" s="90">
        <v>12.5</v>
      </c>
      <c r="AJ9" s="89">
        <v>128800</v>
      </c>
      <c r="AK9" s="89">
        <f t="shared" si="43"/>
        <v>1610000</v>
      </c>
      <c r="AL9" s="91">
        <v>4</v>
      </c>
      <c r="AM9" s="89">
        <v>259400</v>
      </c>
      <c r="AN9" s="89">
        <f t="shared" si="44"/>
        <v>1037600</v>
      </c>
      <c r="AO9" s="90">
        <v>2.4</v>
      </c>
      <c r="AP9" s="89">
        <v>70000</v>
      </c>
      <c r="AQ9" s="89">
        <f t="shared" si="45"/>
        <v>168000</v>
      </c>
      <c r="AR9" s="90">
        <v>0.4</v>
      </c>
      <c r="AS9" s="89">
        <v>200000</v>
      </c>
      <c r="AT9" s="84">
        <f t="shared" si="11"/>
        <v>80000</v>
      </c>
      <c r="AU9" s="1">
        <v>1.2</v>
      </c>
      <c r="AV9" s="6">
        <v>75000</v>
      </c>
      <c r="AW9" s="6">
        <f t="shared" si="12"/>
        <v>90000</v>
      </c>
      <c r="AX9" s="1"/>
      <c r="AY9" s="5"/>
      <c r="AZ9" s="5"/>
      <c r="BA9" s="1"/>
      <c r="BB9" s="5"/>
      <c r="BC9" s="5"/>
      <c r="BD9" s="1">
        <v>3</v>
      </c>
      <c r="BE9" s="6">
        <v>35000</v>
      </c>
      <c r="BF9" s="6">
        <f t="shared" si="15"/>
        <v>105000</v>
      </c>
      <c r="BG9" s="20">
        <v>2</v>
      </c>
      <c r="BH9" s="5">
        <v>22500</v>
      </c>
      <c r="BI9" s="6">
        <f t="shared" si="16"/>
        <v>45000</v>
      </c>
      <c r="BJ9" s="21">
        <v>4.3</v>
      </c>
      <c r="BK9" s="5">
        <v>27500</v>
      </c>
      <c r="BL9" s="27">
        <f t="shared" si="17"/>
        <v>118250</v>
      </c>
      <c r="BM9" s="20">
        <v>0.4</v>
      </c>
      <c r="BN9" s="6">
        <v>43800</v>
      </c>
      <c r="BO9" s="6">
        <f t="shared" si="48"/>
        <v>17520</v>
      </c>
      <c r="BP9" s="5"/>
      <c r="BQ9" s="5"/>
      <c r="BR9" s="5">
        <f t="shared" si="46"/>
        <v>0</v>
      </c>
      <c r="BS9" s="5"/>
      <c r="BT9" s="5"/>
      <c r="BU9" s="5">
        <f t="shared" si="47"/>
        <v>0</v>
      </c>
      <c r="BV9" s="20"/>
      <c r="BW9" s="6">
        <v>20000</v>
      </c>
      <c r="BX9" s="6">
        <f t="shared" si="18"/>
        <v>0</v>
      </c>
      <c r="BY9" s="5"/>
      <c r="BZ9" s="5"/>
      <c r="CA9" s="6">
        <f t="shared" si="19"/>
        <v>0</v>
      </c>
      <c r="CB9" s="18"/>
      <c r="CC9" s="6">
        <v>20000</v>
      </c>
      <c r="CD9" s="6">
        <f t="shared" si="20"/>
        <v>0</v>
      </c>
      <c r="CE9" s="18"/>
      <c r="CF9" s="6"/>
      <c r="CG9" s="6">
        <f t="shared" si="21"/>
        <v>0</v>
      </c>
      <c r="CH9" s="19">
        <v>19.3</v>
      </c>
      <c r="CI9" s="6">
        <v>25000</v>
      </c>
      <c r="CJ9" s="6">
        <f t="shared" si="22"/>
        <v>482500</v>
      </c>
      <c r="CK9" s="6"/>
      <c r="CL9" s="6"/>
      <c r="CM9" s="6"/>
      <c r="CN9" s="18"/>
      <c r="CO9" s="6"/>
      <c r="CP9" s="31">
        <f t="shared" si="24"/>
        <v>0</v>
      </c>
      <c r="CQ9" s="5"/>
      <c r="CR9" s="5"/>
      <c r="CS9" s="5"/>
      <c r="CT9" s="5"/>
      <c r="CU9" s="5"/>
      <c r="CV9" s="5"/>
      <c r="CW9" s="5">
        <v>17</v>
      </c>
      <c r="CX9" s="5">
        <v>28800</v>
      </c>
      <c r="CY9" s="6">
        <f t="shared" si="27"/>
        <v>489600</v>
      </c>
      <c r="CZ9" s="20"/>
      <c r="DA9" s="6">
        <v>37200</v>
      </c>
      <c r="DB9" s="6">
        <f t="shared" si="28"/>
        <v>0</v>
      </c>
      <c r="DC9" s="1"/>
      <c r="DD9" s="5"/>
      <c r="DE9" s="5"/>
      <c r="DF9" s="21"/>
      <c r="DG9" s="5"/>
      <c r="DH9" s="6">
        <f t="shared" si="30"/>
        <v>0</v>
      </c>
      <c r="DI9" s="21"/>
      <c r="DJ9" s="5"/>
      <c r="DK9" s="6">
        <f t="shared" si="31"/>
        <v>0</v>
      </c>
      <c r="DL9" s="21">
        <v>0.25</v>
      </c>
      <c r="DM9" s="5">
        <v>316300</v>
      </c>
      <c r="DN9" s="6">
        <f t="shared" si="32"/>
        <v>79075</v>
      </c>
      <c r="DO9" s="5"/>
      <c r="DP9" s="5"/>
      <c r="DQ9" s="5"/>
      <c r="DR9" s="21"/>
      <c r="DS9" s="5"/>
      <c r="DT9" s="6">
        <f t="shared" si="34"/>
        <v>0</v>
      </c>
      <c r="DU9" s="20"/>
      <c r="DV9" s="5"/>
      <c r="DW9" s="6">
        <f t="shared" si="35"/>
        <v>0</v>
      </c>
      <c r="DX9" s="20"/>
      <c r="DY9" s="5"/>
      <c r="DZ9" s="6">
        <f t="shared" si="36"/>
        <v>0</v>
      </c>
      <c r="EA9" s="19"/>
      <c r="EB9" s="6"/>
      <c r="EC9" s="6">
        <f t="shared" si="37"/>
        <v>0</v>
      </c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>
        <v>50</v>
      </c>
      <c r="EQ9" s="5">
        <v>30700</v>
      </c>
      <c r="ER9" s="6">
        <f t="shared" si="42"/>
        <v>1535000</v>
      </c>
    </row>
    <row r="10" spans="1:148" x14ac:dyDescent="0.35">
      <c r="A10" s="33">
        <v>45940</v>
      </c>
      <c r="B10" s="88"/>
      <c r="C10" s="89"/>
      <c r="D10" s="82">
        <f t="shared" si="0"/>
        <v>0</v>
      </c>
      <c r="E10" s="88">
        <v>11</v>
      </c>
      <c r="F10" s="89">
        <v>145000</v>
      </c>
      <c r="G10" s="84">
        <f t="shared" si="1"/>
        <v>1595000</v>
      </c>
      <c r="H10" s="88"/>
      <c r="I10" s="84"/>
      <c r="J10" s="84">
        <f t="shared" si="2"/>
        <v>0</v>
      </c>
      <c r="K10" s="92"/>
      <c r="L10" s="89"/>
      <c r="M10" s="84">
        <f t="shared" si="3"/>
        <v>0</v>
      </c>
      <c r="N10" s="84"/>
      <c r="O10" s="84"/>
      <c r="P10" s="84">
        <f t="shared" si="4"/>
        <v>0</v>
      </c>
      <c r="Q10" s="86">
        <v>5.7</v>
      </c>
      <c r="R10" s="84">
        <v>152500</v>
      </c>
      <c r="S10" s="84">
        <f t="shared" si="5"/>
        <v>869250</v>
      </c>
      <c r="T10" s="84"/>
      <c r="U10" s="84"/>
      <c r="V10" s="84">
        <f t="shared" si="6"/>
        <v>0</v>
      </c>
      <c r="W10" s="84"/>
      <c r="X10" s="84"/>
      <c r="Y10" s="84">
        <f t="shared" si="7"/>
        <v>0</v>
      </c>
      <c r="Z10" s="86"/>
      <c r="AA10" s="84"/>
      <c r="AB10" s="84">
        <f t="shared" si="8"/>
        <v>0</v>
      </c>
      <c r="AC10" s="86"/>
      <c r="AD10" s="84"/>
      <c r="AE10" s="84"/>
      <c r="AF10" s="88"/>
      <c r="AG10" s="89"/>
      <c r="AH10" s="89"/>
      <c r="AI10" s="90">
        <v>6</v>
      </c>
      <c r="AJ10" s="89">
        <v>128800</v>
      </c>
      <c r="AK10" s="89">
        <f t="shared" si="43"/>
        <v>772800</v>
      </c>
      <c r="AL10" s="91"/>
      <c r="AM10" s="89"/>
      <c r="AN10" s="89">
        <f t="shared" si="44"/>
        <v>0</v>
      </c>
      <c r="AO10" s="90">
        <v>2.8</v>
      </c>
      <c r="AP10" s="89">
        <v>70000</v>
      </c>
      <c r="AQ10" s="89">
        <f t="shared" si="45"/>
        <v>196000</v>
      </c>
      <c r="AR10" s="90">
        <v>2.1</v>
      </c>
      <c r="AS10" s="89">
        <v>200000</v>
      </c>
      <c r="AT10" s="84">
        <f t="shared" si="11"/>
        <v>420000</v>
      </c>
      <c r="AU10" s="34"/>
      <c r="AV10" s="32"/>
      <c r="AW10" s="6">
        <f t="shared" si="12"/>
        <v>0</v>
      </c>
      <c r="AX10" s="34"/>
      <c r="AY10" s="32"/>
      <c r="AZ10" s="32"/>
      <c r="BA10" s="34"/>
      <c r="BB10" s="32"/>
      <c r="BC10" s="32"/>
      <c r="BD10" s="34"/>
      <c r="BE10" s="32"/>
      <c r="BF10" s="6">
        <f t="shared" si="15"/>
        <v>0</v>
      </c>
      <c r="BG10" s="36"/>
      <c r="BH10" s="32"/>
      <c r="BI10" s="6">
        <f t="shared" si="16"/>
        <v>0</v>
      </c>
      <c r="BJ10" s="37"/>
      <c r="BK10" s="32"/>
      <c r="BL10" s="38"/>
      <c r="BM10" s="36">
        <v>0.4</v>
      </c>
      <c r="BN10" s="31">
        <v>43800</v>
      </c>
      <c r="BO10" s="31">
        <f t="shared" si="48"/>
        <v>17520</v>
      </c>
      <c r="BP10" s="32"/>
      <c r="BQ10" s="32"/>
      <c r="BR10" s="32"/>
      <c r="BS10" s="32">
        <v>3.5</v>
      </c>
      <c r="BT10" s="32">
        <v>16300</v>
      </c>
      <c r="BU10" s="32">
        <f t="shared" si="47"/>
        <v>57050</v>
      </c>
      <c r="BV10" s="36">
        <v>3</v>
      </c>
      <c r="BW10" s="31">
        <v>20000</v>
      </c>
      <c r="BX10" s="31">
        <f t="shared" si="18"/>
        <v>60000</v>
      </c>
      <c r="BY10" s="32">
        <v>12.5</v>
      </c>
      <c r="BZ10" s="32">
        <v>43800</v>
      </c>
      <c r="CA10" s="31">
        <f t="shared" si="19"/>
        <v>547500</v>
      </c>
      <c r="CB10" s="39">
        <v>2</v>
      </c>
      <c r="CC10" s="31">
        <v>20000</v>
      </c>
      <c r="CD10" s="31">
        <f t="shared" si="20"/>
        <v>40000</v>
      </c>
      <c r="CE10" s="39"/>
      <c r="CF10" s="31"/>
      <c r="CG10" s="31">
        <f t="shared" si="21"/>
        <v>0</v>
      </c>
      <c r="CH10" s="35"/>
      <c r="CI10" s="31"/>
      <c r="CJ10" s="31">
        <f t="shared" si="22"/>
        <v>0</v>
      </c>
      <c r="CK10" s="31"/>
      <c r="CL10" s="31"/>
      <c r="CM10" s="31"/>
      <c r="CN10" s="39">
        <v>2</v>
      </c>
      <c r="CO10" s="31">
        <v>16300</v>
      </c>
      <c r="CP10" s="31">
        <f t="shared" si="24"/>
        <v>32600</v>
      </c>
      <c r="CQ10" s="32"/>
      <c r="CR10" s="32"/>
      <c r="CS10" s="32"/>
      <c r="CT10" s="32"/>
      <c r="CU10" s="32"/>
      <c r="CV10" s="32"/>
      <c r="CW10" s="32"/>
      <c r="CX10" s="32"/>
      <c r="CY10" s="31">
        <f t="shared" si="27"/>
        <v>0</v>
      </c>
      <c r="CZ10" s="36">
        <v>2.5</v>
      </c>
      <c r="DA10" s="31">
        <v>37200</v>
      </c>
      <c r="DB10" s="31">
        <f t="shared" si="28"/>
        <v>93000</v>
      </c>
      <c r="DC10" s="34"/>
      <c r="DD10" s="32"/>
      <c r="DE10" s="32"/>
      <c r="DF10" s="37">
        <v>1</v>
      </c>
      <c r="DG10" s="32">
        <v>89600</v>
      </c>
      <c r="DH10" s="31">
        <f t="shared" si="30"/>
        <v>89600</v>
      </c>
      <c r="DI10" s="37">
        <v>0.35</v>
      </c>
      <c r="DJ10" s="32">
        <v>113900</v>
      </c>
      <c r="DK10" s="31">
        <f t="shared" si="31"/>
        <v>39865</v>
      </c>
      <c r="DL10" s="37"/>
      <c r="DM10" s="32"/>
      <c r="DN10" s="31">
        <f t="shared" si="32"/>
        <v>0</v>
      </c>
      <c r="DO10" s="32"/>
      <c r="DP10" s="32"/>
      <c r="DQ10" s="32"/>
      <c r="DR10" s="37">
        <v>1.5</v>
      </c>
      <c r="DS10" s="32">
        <v>58300</v>
      </c>
      <c r="DT10" s="31">
        <f t="shared" si="34"/>
        <v>87450</v>
      </c>
      <c r="DU10" s="36"/>
      <c r="DV10" s="32"/>
      <c r="DW10" s="6">
        <f t="shared" si="35"/>
        <v>0</v>
      </c>
      <c r="DX10" s="36"/>
      <c r="DY10" s="32"/>
      <c r="DZ10" s="6">
        <f t="shared" si="36"/>
        <v>0</v>
      </c>
      <c r="EA10" s="37"/>
      <c r="EB10" s="32"/>
      <c r="EC10" s="6">
        <f t="shared" si="37"/>
        <v>0</v>
      </c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</row>
    <row r="11" spans="1:148" x14ac:dyDescent="0.35">
      <c r="A11" s="15" t="s">
        <v>13</v>
      </c>
      <c r="B11" s="88"/>
      <c r="C11" s="89"/>
      <c r="D11" s="89"/>
      <c r="E11" s="88"/>
      <c r="F11" s="89"/>
      <c r="G11" s="89"/>
      <c r="H11" s="88">
        <v>6.5</v>
      </c>
      <c r="I11" s="84">
        <v>282000</v>
      </c>
      <c r="J11" s="84">
        <f t="shared" si="2"/>
        <v>1833000</v>
      </c>
      <c r="K11" s="92"/>
      <c r="L11" s="89"/>
      <c r="M11" s="84">
        <f t="shared" si="3"/>
        <v>0</v>
      </c>
      <c r="N11" s="84"/>
      <c r="O11" s="84"/>
      <c r="P11" s="84">
        <f t="shared" si="4"/>
        <v>0</v>
      </c>
      <c r="Q11" s="86"/>
      <c r="R11" s="84"/>
      <c r="S11" s="84">
        <f t="shared" si="5"/>
        <v>0</v>
      </c>
      <c r="T11" s="84">
        <v>3</v>
      </c>
      <c r="U11" s="84">
        <v>67000</v>
      </c>
      <c r="V11" s="84">
        <f t="shared" si="6"/>
        <v>201000</v>
      </c>
      <c r="W11" s="84">
        <v>2.2000000000000002</v>
      </c>
      <c r="X11" s="84">
        <v>142000</v>
      </c>
      <c r="Y11" s="84">
        <f t="shared" si="7"/>
        <v>312400</v>
      </c>
      <c r="Z11" s="86">
        <v>2</v>
      </c>
      <c r="AA11" s="84">
        <v>182000</v>
      </c>
      <c r="AB11" s="84">
        <f t="shared" si="8"/>
        <v>364000</v>
      </c>
      <c r="AC11" s="86"/>
      <c r="AD11" s="84"/>
      <c r="AE11" s="84"/>
      <c r="AF11" s="88"/>
      <c r="AG11" s="89"/>
      <c r="AH11" s="89"/>
      <c r="AI11" s="90">
        <v>6.8</v>
      </c>
      <c r="AJ11" s="89">
        <v>125000</v>
      </c>
      <c r="AK11" s="89">
        <f t="shared" si="43"/>
        <v>850000</v>
      </c>
      <c r="AL11" s="91"/>
      <c r="AM11" s="89"/>
      <c r="AN11" s="89">
        <f t="shared" si="44"/>
        <v>0</v>
      </c>
      <c r="AO11" s="90"/>
      <c r="AP11" s="89"/>
      <c r="AQ11" s="89"/>
      <c r="AR11" s="89"/>
      <c r="AS11" s="89"/>
      <c r="AT11" s="84">
        <f t="shared" si="11"/>
        <v>0</v>
      </c>
      <c r="AU11" s="1">
        <v>1.6</v>
      </c>
      <c r="AV11" s="5">
        <v>75000</v>
      </c>
      <c r="AW11" s="6">
        <f t="shared" si="12"/>
        <v>120000</v>
      </c>
      <c r="AX11" s="1"/>
      <c r="AY11" s="5"/>
      <c r="AZ11" s="5"/>
      <c r="BA11" s="1"/>
      <c r="BB11" s="5"/>
      <c r="BC11" s="5"/>
      <c r="BD11" s="1">
        <v>4</v>
      </c>
      <c r="BE11" s="5">
        <v>40000</v>
      </c>
      <c r="BF11" s="6">
        <f t="shared" si="15"/>
        <v>160000</v>
      </c>
      <c r="BG11" s="20">
        <v>2.5</v>
      </c>
      <c r="BH11" s="5">
        <v>25000</v>
      </c>
      <c r="BI11" s="6">
        <f t="shared" si="16"/>
        <v>62500</v>
      </c>
      <c r="BJ11" s="21"/>
      <c r="BK11" s="5"/>
      <c r="BL11" s="29"/>
      <c r="BM11" s="20">
        <v>0.4</v>
      </c>
      <c r="BN11" s="5">
        <v>44000</v>
      </c>
      <c r="BO11" s="6">
        <f t="shared" si="48"/>
        <v>17600</v>
      </c>
      <c r="BP11" s="5"/>
      <c r="BQ11" s="5"/>
      <c r="BR11" s="5"/>
      <c r="BS11" s="5"/>
      <c r="BT11" s="5"/>
      <c r="BU11" s="5"/>
      <c r="BV11" s="20">
        <v>3.5</v>
      </c>
      <c r="BW11" s="6">
        <v>20000</v>
      </c>
      <c r="BX11" s="6">
        <f t="shared" si="18"/>
        <v>70000</v>
      </c>
      <c r="BY11" s="5">
        <v>11</v>
      </c>
      <c r="BZ11" s="5">
        <v>48000</v>
      </c>
      <c r="CA11" s="6">
        <f t="shared" si="19"/>
        <v>528000</v>
      </c>
      <c r="CB11" s="18">
        <v>3</v>
      </c>
      <c r="CC11" s="6">
        <v>23000</v>
      </c>
      <c r="CD11" s="6">
        <f t="shared" si="20"/>
        <v>69000</v>
      </c>
      <c r="CE11" s="18"/>
      <c r="CF11" s="6"/>
      <c r="CG11" s="6">
        <f t="shared" si="21"/>
        <v>0</v>
      </c>
      <c r="CH11" s="19"/>
      <c r="CI11" s="6"/>
      <c r="CJ11" s="6">
        <f t="shared" si="22"/>
        <v>0</v>
      </c>
      <c r="CK11" s="6"/>
      <c r="CL11" s="6"/>
      <c r="CM11" s="6"/>
      <c r="CN11" s="18">
        <v>2.5</v>
      </c>
      <c r="CO11" s="6">
        <v>17000</v>
      </c>
      <c r="CP11" s="6">
        <f t="shared" si="24"/>
        <v>42500</v>
      </c>
      <c r="CQ11" s="5"/>
      <c r="CR11" s="5"/>
      <c r="CS11" s="5"/>
      <c r="CT11" s="5"/>
      <c r="CU11" s="5"/>
      <c r="CV11" s="5"/>
      <c r="CW11" s="5"/>
      <c r="CX11" s="5"/>
      <c r="CY11" s="5"/>
      <c r="CZ11" s="20">
        <v>2.5</v>
      </c>
      <c r="DA11" s="5">
        <v>38000</v>
      </c>
      <c r="DB11" s="5">
        <f t="shared" si="28"/>
        <v>95000</v>
      </c>
      <c r="DC11" s="1"/>
      <c r="DD11" s="5"/>
      <c r="DE11" s="5"/>
      <c r="DF11" s="21"/>
      <c r="DG11" s="5"/>
      <c r="DH11" s="5"/>
      <c r="DI11" s="21"/>
      <c r="DJ11" s="5"/>
      <c r="DK11" s="5"/>
      <c r="DL11" s="21"/>
      <c r="DM11" s="5"/>
      <c r="DN11" s="6">
        <f t="shared" si="32"/>
        <v>0</v>
      </c>
      <c r="DO11" s="5"/>
      <c r="DP11" s="5"/>
      <c r="DQ11" s="5"/>
      <c r="DR11" s="21"/>
      <c r="DS11" s="5"/>
      <c r="DT11" s="5"/>
      <c r="DU11" s="20">
        <v>0.2</v>
      </c>
      <c r="DV11" s="5">
        <v>44000</v>
      </c>
      <c r="DW11" s="6">
        <f t="shared" si="35"/>
        <v>8800</v>
      </c>
      <c r="DX11" s="20">
        <v>0.2</v>
      </c>
      <c r="DY11" s="5">
        <v>57000</v>
      </c>
      <c r="DZ11" s="6">
        <f t="shared" si="36"/>
        <v>11400</v>
      </c>
      <c r="EA11" s="21">
        <v>1.5</v>
      </c>
      <c r="EB11" s="5">
        <v>38000</v>
      </c>
      <c r="EC11" s="6">
        <f t="shared" si="37"/>
        <v>57000</v>
      </c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</row>
    <row r="12" spans="1:148" x14ac:dyDescent="0.35">
      <c r="A12" s="12" t="s">
        <v>14</v>
      </c>
      <c r="B12" s="1"/>
      <c r="C12" s="5"/>
      <c r="D12" s="5"/>
      <c r="E12" s="1"/>
      <c r="F12" s="5"/>
      <c r="G12" s="5"/>
      <c r="H12" s="1"/>
      <c r="I12" s="5"/>
      <c r="J12" s="5"/>
      <c r="K12" s="3"/>
      <c r="L12" s="5"/>
      <c r="M12" s="6">
        <f t="shared" si="3"/>
        <v>0</v>
      </c>
      <c r="N12" s="6"/>
      <c r="O12" s="6"/>
      <c r="P12" s="6">
        <f t="shared" si="4"/>
        <v>0</v>
      </c>
      <c r="Q12" s="19"/>
      <c r="R12" s="6"/>
      <c r="S12" s="6">
        <f t="shared" si="5"/>
        <v>0</v>
      </c>
      <c r="T12" s="6"/>
      <c r="U12" s="6"/>
      <c r="V12" s="6">
        <f t="shared" si="6"/>
        <v>0</v>
      </c>
      <c r="W12" s="6"/>
      <c r="X12" s="6"/>
      <c r="Y12" s="6">
        <f t="shared" si="7"/>
        <v>0</v>
      </c>
      <c r="Z12" s="19"/>
      <c r="AA12" s="6"/>
      <c r="AB12" s="6"/>
      <c r="AC12" s="19"/>
      <c r="AD12" s="6"/>
      <c r="AE12" s="6"/>
      <c r="AF12" s="1"/>
      <c r="AG12" s="5"/>
      <c r="AH12" s="5"/>
      <c r="AI12" s="21"/>
      <c r="AJ12" s="5"/>
      <c r="AK12" s="5">
        <f t="shared" si="43"/>
        <v>0</v>
      </c>
      <c r="AL12" s="20"/>
      <c r="AM12" s="5"/>
      <c r="AN12" s="5">
        <f t="shared" si="44"/>
        <v>0</v>
      </c>
      <c r="AO12" s="21"/>
      <c r="AP12" s="5"/>
      <c r="AQ12" s="5"/>
      <c r="AR12" s="5"/>
      <c r="AS12" s="5"/>
      <c r="AT12" s="6">
        <f t="shared" si="11"/>
        <v>0</v>
      </c>
      <c r="AU12" s="1"/>
      <c r="AV12" s="5"/>
      <c r="AW12" s="5"/>
      <c r="AX12" s="1"/>
      <c r="AY12" s="5"/>
      <c r="AZ12" s="5"/>
      <c r="BA12" s="1"/>
      <c r="BB12" s="5"/>
      <c r="BC12" s="5"/>
      <c r="BD12" s="1"/>
      <c r="BE12" s="5"/>
      <c r="BF12" s="5"/>
      <c r="BG12" s="20"/>
      <c r="BH12" s="5"/>
      <c r="BI12" s="5"/>
      <c r="BJ12" s="21"/>
      <c r="BK12" s="5"/>
      <c r="BL12" s="29"/>
      <c r="BM12" s="20"/>
      <c r="BN12" s="5"/>
      <c r="BO12" s="5"/>
      <c r="BP12" s="5"/>
      <c r="BQ12" s="5"/>
      <c r="BR12" s="5"/>
      <c r="BS12" s="5"/>
      <c r="BT12" s="5"/>
      <c r="BU12" s="5"/>
      <c r="BV12" s="20"/>
      <c r="BW12" s="5"/>
      <c r="BX12" s="5"/>
      <c r="BY12" s="5"/>
      <c r="BZ12" s="5"/>
      <c r="CA12" s="5"/>
      <c r="CB12" s="18"/>
      <c r="CC12" s="6"/>
      <c r="CD12" s="6">
        <f t="shared" si="20"/>
        <v>0</v>
      </c>
      <c r="CE12" s="18"/>
      <c r="CF12" s="6"/>
      <c r="CG12" s="6">
        <f t="shared" si="21"/>
        <v>0</v>
      </c>
      <c r="CH12" s="19"/>
      <c r="CI12" s="6"/>
      <c r="CJ12" s="6">
        <f t="shared" si="22"/>
        <v>0</v>
      </c>
      <c r="CK12" s="6"/>
      <c r="CL12" s="6"/>
      <c r="CM12" s="6"/>
      <c r="CN12" s="18"/>
      <c r="CO12" s="6"/>
      <c r="CP12" s="31">
        <f t="shared" si="24"/>
        <v>0</v>
      </c>
      <c r="CQ12" s="5"/>
      <c r="CR12" s="5"/>
      <c r="CS12" s="5"/>
      <c r="CT12" s="5"/>
      <c r="CU12" s="5"/>
      <c r="CV12" s="5"/>
      <c r="CW12" s="5"/>
      <c r="CX12" s="5"/>
      <c r="CY12" s="5"/>
      <c r="CZ12" s="20"/>
      <c r="DA12" s="5"/>
      <c r="DB12" s="5"/>
      <c r="DC12" s="1"/>
      <c r="DD12" s="5"/>
      <c r="DE12" s="5"/>
      <c r="DF12" s="21"/>
      <c r="DG12" s="5"/>
      <c r="DH12" s="5"/>
      <c r="DI12" s="21"/>
      <c r="DJ12" s="5"/>
      <c r="DK12" s="5"/>
      <c r="DL12" s="21"/>
      <c r="DM12" s="5"/>
      <c r="DN12" s="6">
        <f t="shared" si="32"/>
        <v>0</v>
      </c>
      <c r="DO12" s="5"/>
      <c r="DP12" s="5"/>
      <c r="DQ12" s="5"/>
      <c r="DR12" s="21"/>
      <c r="DS12" s="5"/>
      <c r="DT12" s="5"/>
      <c r="DU12" s="20"/>
      <c r="DV12" s="5"/>
      <c r="DW12" s="5"/>
      <c r="DX12" s="20"/>
      <c r="DY12" s="5"/>
      <c r="DZ12" s="5"/>
      <c r="EA12" s="21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</row>
    <row r="13" spans="1:148" x14ac:dyDescent="0.35">
      <c r="A13" s="12" t="s">
        <v>15</v>
      </c>
      <c r="B13" s="1"/>
      <c r="C13" s="5"/>
      <c r="D13" s="5"/>
      <c r="E13" s="1"/>
      <c r="F13" s="5"/>
      <c r="G13" s="5"/>
      <c r="H13" s="1"/>
      <c r="I13" s="5"/>
      <c r="J13" s="5"/>
      <c r="K13" s="3"/>
      <c r="L13" s="5"/>
      <c r="M13" s="6">
        <f t="shared" si="3"/>
        <v>0</v>
      </c>
      <c r="N13" s="6"/>
      <c r="O13" s="6"/>
      <c r="P13" s="6">
        <f t="shared" si="4"/>
        <v>0</v>
      </c>
      <c r="Q13" s="19"/>
      <c r="R13" s="6"/>
      <c r="S13" s="6">
        <f t="shared" si="5"/>
        <v>0</v>
      </c>
      <c r="T13" s="6"/>
      <c r="U13" s="6"/>
      <c r="V13" s="6">
        <f t="shared" si="6"/>
        <v>0</v>
      </c>
      <c r="W13" s="6"/>
      <c r="X13" s="6"/>
      <c r="Y13" s="6">
        <f t="shared" si="7"/>
        <v>0</v>
      </c>
      <c r="Z13" s="19"/>
      <c r="AA13" s="6"/>
      <c r="AB13" s="6"/>
      <c r="AC13" s="19"/>
      <c r="AD13" s="6"/>
      <c r="AE13" s="6"/>
      <c r="AF13" s="1"/>
      <c r="AG13" s="5"/>
      <c r="AH13" s="5"/>
      <c r="AI13" s="21"/>
      <c r="AJ13" s="5"/>
      <c r="AK13" s="5">
        <f t="shared" si="43"/>
        <v>0</v>
      </c>
      <c r="AL13" s="20"/>
      <c r="AM13" s="5"/>
      <c r="AN13" s="5"/>
      <c r="AO13" s="21"/>
      <c r="AP13" s="5"/>
      <c r="AQ13" s="5"/>
      <c r="AR13" s="5"/>
      <c r="AS13" s="5"/>
      <c r="AT13" s="6">
        <f t="shared" si="11"/>
        <v>0</v>
      </c>
      <c r="AU13" s="1"/>
      <c r="AV13" s="5"/>
      <c r="AW13" s="5"/>
      <c r="AX13" s="1"/>
      <c r="AY13" s="5"/>
      <c r="AZ13" s="5"/>
      <c r="BA13" s="1"/>
      <c r="BB13" s="5"/>
      <c r="BC13" s="5"/>
      <c r="BD13" s="1"/>
      <c r="BE13" s="5"/>
      <c r="BF13" s="5"/>
      <c r="BG13" s="20"/>
      <c r="BH13" s="5"/>
      <c r="BI13" s="5"/>
      <c r="BJ13" s="21"/>
      <c r="BK13" s="5"/>
      <c r="BL13" s="29"/>
      <c r="BM13" s="20"/>
      <c r="BN13" s="5"/>
      <c r="BO13" s="5"/>
      <c r="BP13" s="5"/>
      <c r="BQ13" s="5"/>
      <c r="BR13" s="5"/>
      <c r="BS13" s="5"/>
      <c r="BT13" s="5"/>
      <c r="BU13" s="5"/>
      <c r="BV13" s="20"/>
      <c r="BW13" s="5"/>
      <c r="BX13" s="5"/>
      <c r="BY13" s="5"/>
      <c r="BZ13" s="5"/>
      <c r="CA13" s="5"/>
      <c r="CB13" s="18"/>
      <c r="CC13" s="6"/>
      <c r="CD13" s="6">
        <f t="shared" si="20"/>
        <v>0</v>
      </c>
      <c r="CE13" s="18"/>
      <c r="CF13" s="6"/>
      <c r="CG13" s="6">
        <f t="shared" si="21"/>
        <v>0</v>
      </c>
      <c r="CH13" s="19"/>
      <c r="CI13" s="6"/>
      <c r="CJ13" s="6">
        <f t="shared" si="22"/>
        <v>0</v>
      </c>
      <c r="CK13" s="6"/>
      <c r="CL13" s="6"/>
      <c r="CM13" s="6"/>
      <c r="CN13" s="18"/>
      <c r="CO13" s="6"/>
      <c r="CP13" s="31"/>
      <c r="CQ13" s="5"/>
      <c r="CR13" s="5"/>
      <c r="CS13" s="5"/>
      <c r="CT13" s="5"/>
      <c r="CU13" s="5"/>
      <c r="CV13" s="5"/>
      <c r="CW13" s="5"/>
      <c r="CX13" s="5"/>
      <c r="CY13" s="5"/>
      <c r="CZ13" s="20"/>
      <c r="DA13" s="5"/>
      <c r="DB13" s="5"/>
      <c r="DC13" s="1"/>
      <c r="DD13" s="5"/>
      <c r="DE13" s="5"/>
      <c r="DF13" s="21"/>
      <c r="DG13" s="5"/>
      <c r="DH13" s="5"/>
      <c r="DI13" s="21"/>
      <c r="DJ13" s="5"/>
      <c r="DK13" s="5"/>
      <c r="DL13" s="21"/>
      <c r="DM13" s="5"/>
      <c r="DN13" s="5"/>
      <c r="DO13" s="5"/>
      <c r="DP13" s="5"/>
      <c r="DQ13" s="5"/>
      <c r="DR13" s="21"/>
      <c r="DS13" s="5"/>
      <c r="DT13" s="5"/>
      <c r="DU13" s="20"/>
      <c r="DV13" s="5"/>
      <c r="DW13" s="5"/>
      <c r="DX13" s="20"/>
      <c r="DY13" s="5"/>
      <c r="DZ13" s="5"/>
      <c r="EA13" s="21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</row>
    <row r="14" spans="1:148" x14ac:dyDescent="0.35">
      <c r="A14" s="12" t="s">
        <v>16</v>
      </c>
      <c r="B14" s="1"/>
      <c r="C14" s="5"/>
      <c r="D14" s="5"/>
      <c r="E14" s="1"/>
      <c r="F14" s="5"/>
      <c r="G14" s="5"/>
      <c r="H14" s="1"/>
      <c r="I14" s="5"/>
      <c r="J14" s="5"/>
      <c r="K14" s="3"/>
      <c r="L14" s="5"/>
      <c r="M14" s="6">
        <f t="shared" si="3"/>
        <v>0</v>
      </c>
      <c r="N14" s="6"/>
      <c r="O14" s="6"/>
      <c r="P14" s="6">
        <f t="shared" si="4"/>
        <v>0</v>
      </c>
      <c r="Q14" s="19"/>
      <c r="R14" s="6"/>
      <c r="S14" s="6">
        <f t="shared" si="5"/>
        <v>0</v>
      </c>
      <c r="T14" s="6"/>
      <c r="U14" s="6"/>
      <c r="V14" s="6">
        <f t="shared" si="6"/>
        <v>0</v>
      </c>
      <c r="W14" s="6"/>
      <c r="X14" s="6"/>
      <c r="Y14" s="6"/>
      <c r="Z14" s="19"/>
      <c r="AA14" s="6"/>
      <c r="AB14" s="6"/>
      <c r="AC14" s="19"/>
      <c r="AD14" s="6"/>
      <c r="AE14" s="6"/>
      <c r="AF14" s="1"/>
      <c r="AG14" s="5"/>
      <c r="AH14" s="5"/>
      <c r="AI14" s="21"/>
      <c r="AJ14" s="5"/>
      <c r="AK14" s="5">
        <f t="shared" si="43"/>
        <v>0</v>
      </c>
      <c r="AL14" s="20"/>
      <c r="AM14" s="5"/>
      <c r="AN14" s="5"/>
      <c r="AO14" s="21"/>
      <c r="AP14" s="5"/>
      <c r="AQ14" s="5"/>
      <c r="AR14" s="5"/>
      <c r="AS14" s="5"/>
      <c r="AT14" s="5"/>
      <c r="AU14" s="1"/>
      <c r="AV14" s="5"/>
      <c r="AW14" s="5"/>
      <c r="AX14" s="1"/>
      <c r="AY14" s="5"/>
      <c r="AZ14" s="5"/>
      <c r="BA14" s="1"/>
      <c r="BB14" s="5"/>
      <c r="BC14" s="5"/>
      <c r="BD14" s="1"/>
      <c r="BE14" s="5"/>
      <c r="BF14" s="5"/>
      <c r="BG14" s="20"/>
      <c r="BH14" s="5"/>
      <c r="BI14" s="5"/>
      <c r="BJ14" s="21"/>
      <c r="BK14" s="5"/>
      <c r="BL14" s="29"/>
      <c r="BM14" s="20"/>
      <c r="BN14" s="5"/>
      <c r="BO14" s="5"/>
      <c r="BP14" s="5"/>
      <c r="BQ14" s="5"/>
      <c r="BR14" s="5"/>
      <c r="BS14" s="5"/>
      <c r="BT14" s="5"/>
      <c r="BU14" s="5"/>
      <c r="BV14" s="20"/>
      <c r="BW14" s="5"/>
      <c r="BX14" s="5"/>
      <c r="BY14" s="5"/>
      <c r="BZ14" s="5"/>
      <c r="CA14" s="5"/>
      <c r="CB14" s="18"/>
      <c r="CC14" s="6"/>
      <c r="CD14" s="6">
        <f t="shared" si="20"/>
        <v>0</v>
      </c>
      <c r="CE14" s="18"/>
      <c r="CF14" s="6"/>
      <c r="CG14" s="6">
        <f t="shared" si="21"/>
        <v>0</v>
      </c>
      <c r="CH14" s="19"/>
      <c r="CI14" s="6"/>
      <c r="CJ14" s="6">
        <f t="shared" si="22"/>
        <v>0</v>
      </c>
      <c r="CK14" s="6"/>
      <c r="CL14" s="6"/>
      <c r="CM14" s="6"/>
      <c r="CN14" s="18"/>
      <c r="CO14" s="6"/>
      <c r="CP14" s="31"/>
      <c r="CQ14" s="5"/>
      <c r="CR14" s="5"/>
      <c r="CS14" s="5"/>
      <c r="CT14" s="5"/>
      <c r="CU14" s="5"/>
      <c r="CV14" s="5"/>
      <c r="CW14" s="5"/>
      <c r="CX14" s="5"/>
      <c r="CY14" s="5"/>
      <c r="CZ14" s="20"/>
      <c r="DA14" s="5"/>
      <c r="DB14" s="5"/>
      <c r="DC14" s="1"/>
      <c r="DD14" s="5"/>
      <c r="DE14" s="5"/>
      <c r="DF14" s="21"/>
      <c r="DG14" s="5"/>
      <c r="DH14" s="5"/>
      <c r="DI14" s="21"/>
      <c r="DJ14" s="5"/>
      <c r="DK14" s="5"/>
      <c r="DL14" s="21"/>
      <c r="DM14" s="5"/>
      <c r="DN14" s="5"/>
      <c r="DO14" s="5"/>
      <c r="DP14" s="5"/>
      <c r="DQ14" s="5"/>
      <c r="DR14" s="21"/>
      <c r="DS14" s="5"/>
      <c r="DT14" s="5"/>
      <c r="DU14" s="20"/>
      <c r="DV14" s="5"/>
      <c r="DW14" s="5"/>
      <c r="DX14" s="20"/>
      <c r="DY14" s="5"/>
      <c r="DZ14" s="5"/>
      <c r="EA14" s="21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</row>
    <row r="15" spans="1:148" x14ac:dyDescent="0.35">
      <c r="A15" s="12" t="s">
        <v>17</v>
      </c>
      <c r="B15" s="1"/>
      <c r="C15" s="5"/>
      <c r="D15" s="5"/>
      <c r="E15" s="1"/>
      <c r="F15" s="5"/>
      <c r="G15" s="5"/>
      <c r="H15" s="1"/>
      <c r="I15" s="5"/>
      <c r="J15" s="5"/>
      <c r="K15" s="3"/>
      <c r="L15" s="5"/>
      <c r="M15" s="6">
        <f t="shared" si="3"/>
        <v>0</v>
      </c>
      <c r="N15" s="6"/>
      <c r="O15" s="6"/>
      <c r="P15" s="6">
        <f t="shared" si="4"/>
        <v>0</v>
      </c>
      <c r="Q15" s="19"/>
      <c r="R15" s="6"/>
      <c r="S15" s="6">
        <f t="shared" si="5"/>
        <v>0</v>
      </c>
      <c r="T15" s="6"/>
      <c r="U15" s="6"/>
      <c r="V15" s="6"/>
      <c r="W15" s="6"/>
      <c r="X15" s="6"/>
      <c r="Y15" s="6"/>
      <c r="Z15" s="19"/>
      <c r="AA15" s="6"/>
      <c r="AB15" s="6"/>
      <c r="AC15" s="19"/>
      <c r="AD15" s="6"/>
      <c r="AE15" s="6"/>
      <c r="AF15" s="1"/>
      <c r="AG15" s="5"/>
      <c r="AH15" s="5"/>
      <c r="AI15" s="21"/>
      <c r="AJ15" s="5"/>
      <c r="AK15" s="5">
        <f t="shared" si="43"/>
        <v>0</v>
      </c>
      <c r="AL15" s="20"/>
      <c r="AM15" s="5"/>
      <c r="AN15" s="5"/>
      <c r="AO15" s="21"/>
      <c r="AP15" s="5"/>
      <c r="AQ15" s="5"/>
      <c r="AR15" s="5"/>
      <c r="AS15" s="5"/>
      <c r="AT15" s="5"/>
      <c r="AU15" s="1"/>
      <c r="AV15" s="5"/>
      <c r="AW15" s="5"/>
      <c r="AX15" s="1"/>
      <c r="AY15" s="5"/>
      <c r="AZ15" s="5"/>
      <c r="BA15" s="1"/>
      <c r="BB15" s="5"/>
      <c r="BC15" s="5"/>
      <c r="BD15" s="1"/>
      <c r="BE15" s="5"/>
      <c r="BF15" s="5"/>
      <c r="BG15" s="20"/>
      <c r="BH15" s="5"/>
      <c r="BI15" s="5"/>
      <c r="BJ15" s="21"/>
      <c r="BK15" s="5"/>
      <c r="BL15" s="29"/>
      <c r="BM15" s="20"/>
      <c r="BN15" s="5"/>
      <c r="BO15" s="5"/>
      <c r="BP15" s="5"/>
      <c r="BQ15" s="5"/>
      <c r="BR15" s="5"/>
      <c r="BS15" s="5"/>
      <c r="BT15" s="5"/>
      <c r="BU15" s="5"/>
      <c r="BV15" s="20"/>
      <c r="BW15" s="5"/>
      <c r="BX15" s="5"/>
      <c r="BY15" s="5"/>
      <c r="BZ15" s="5"/>
      <c r="CA15" s="5"/>
      <c r="CB15" s="18"/>
      <c r="CC15" s="6"/>
      <c r="CD15" s="6">
        <f t="shared" si="20"/>
        <v>0</v>
      </c>
      <c r="CE15" s="18"/>
      <c r="CF15" s="6"/>
      <c r="CG15" s="6">
        <f t="shared" si="21"/>
        <v>0</v>
      </c>
      <c r="CH15" s="19"/>
      <c r="CI15" s="6"/>
      <c r="CJ15" s="6">
        <f t="shared" si="22"/>
        <v>0</v>
      </c>
      <c r="CK15" s="6"/>
      <c r="CL15" s="6"/>
      <c r="CM15" s="6"/>
      <c r="CN15" s="18"/>
      <c r="CO15" s="6"/>
      <c r="CP15" s="31"/>
      <c r="CQ15" s="5"/>
      <c r="CR15" s="5"/>
      <c r="CS15" s="5"/>
      <c r="CT15" s="5"/>
      <c r="CU15" s="5"/>
      <c r="CV15" s="5"/>
      <c r="CW15" s="5"/>
      <c r="CX15" s="5"/>
      <c r="CY15" s="5"/>
      <c r="CZ15" s="20"/>
      <c r="DA15" s="5"/>
      <c r="DB15" s="5"/>
      <c r="DC15" s="1"/>
      <c r="DD15" s="5"/>
      <c r="DE15" s="5"/>
      <c r="DF15" s="21"/>
      <c r="DG15" s="5"/>
      <c r="DH15" s="5"/>
      <c r="DI15" s="21"/>
      <c r="DJ15" s="5"/>
      <c r="DK15" s="5"/>
      <c r="DL15" s="21"/>
      <c r="DM15" s="5"/>
      <c r="DN15" s="5"/>
      <c r="DO15" s="5"/>
      <c r="DP15" s="5"/>
      <c r="DQ15" s="5"/>
      <c r="DR15" s="21"/>
      <c r="DS15" s="5"/>
      <c r="DT15" s="5"/>
      <c r="DU15" s="20"/>
      <c r="DV15" s="5"/>
      <c r="DW15" s="5"/>
      <c r="DX15" s="20"/>
      <c r="DY15" s="5"/>
      <c r="DZ15" s="5"/>
      <c r="EA15" s="21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</row>
    <row r="16" spans="1:148" x14ac:dyDescent="0.35">
      <c r="A16" s="13" t="s">
        <v>19</v>
      </c>
      <c r="B16" s="1"/>
      <c r="C16" s="5"/>
      <c r="D16" s="5"/>
      <c r="E16" s="1"/>
      <c r="F16" s="5"/>
      <c r="G16" s="5"/>
      <c r="H16" s="1"/>
      <c r="I16" s="5"/>
      <c r="J16" s="5"/>
      <c r="K16" s="3"/>
      <c r="L16" s="5"/>
      <c r="M16" s="6">
        <f t="shared" si="3"/>
        <v>0</v>
      </c>
      <c r="N16" s="6"/>
      <c r="O16" s="6"/>
      <c r="P16" s="6">
        <f t="shared" si="4"/>
        <v>0</v>
      </c>
      <c r="Q16" s="19"/>
      <c r="R16" s="6"/>
      <c r="S16" s="6">
        <f t="shared" si="5"/>
        <v>0</v>
      </c>
      <c r="T16" s="6"/>
      <c r="U16" s="6"/>
      <c r="V16" s="6"/>
      <c r="W16" s="6"/>
      <c r="X16" s="6"/>
      <c r="Y16" s="6"/>
      <c r="Z16" s="19"/>
      <c r="AA16" s="6"/>
      <c r="AB16" s="6"/>
      <c r="AC16" s="19"/>
      <c r="AD16" s="6"/>
      <c r="AE16" s="6"/>
      <c r="AF16" s="1"/>
      <c r="AG16" s="5"/>
      <c r="AH16" s="5"/>
      <c r="AI16" s="21"/>
      <c r="AJ16" s="5"/>
      <c r="AK16" s="5">
        <f t="shared" si="43"/>
        <v>0</v>
      </c>
      <c r="AL16" s="20"/>
      <c r="AM16" s="5"/>
      <c r="AN16" s="5"/>
      <c r="AO16" s="21"/>
      <c r="AP16" s="5"/>
      <c r="AQ16" s="5"/>
      <c r="AR16" s="5"/>
      <c r="AS16" s="5"/>
      <c r="AT16" s="5"/>
      <c r="AU16" s="1"/>
      <c r="AV16" s="5"/>
      <c r="AW16" s="5"/>
      <c r="AX16" s="1"/>
      <c r="AY16" s="5"/>
      <c r="AZ16" s="5"/>
      <c r="BA16" s="1"/>
      <c r="BB16" s="5"/>
      <c r="BC16" s="5"/>
      <c r="BD16" s="1"/>
      <c r="BE16" s="5"/>
      <c r="BF16" s="5"/>
      <c r="BG16" s="20"/>
      <c r="BH16" s="5"/>
      <c r="BI16" s="5"/>
      <c r="BJ16" s="21"/>
      <c r="BK16" s="5"/>
      <c r="BL16" s="29"/>
      <c r="BM16" s="20"/>
      <c r="BN16" s="5"/>
      <c r="BO16" s="5"/>
      <c r="BP16" s="5"/>
      <c r="BQ16" s="5"/>
      <c r="BR16" s="5"/>
      <c r="BS16" s="5"/>
      <c r="BT16" s="5"/>
      <c r="BU16" s="5"/>
      <c r="BV16" s="20"/>
      <c r="BW16" s="5"/>
      <c r="BX16" s="5"/>
      <c r="BY16" s="5"/>
      <c r="BZ16" s="5"/>
      <c r="CA16" s="5"/>
      <c r="CB16" s="18"/>
      <c r="CC16" s="6"/>
      <c r="CD16" s="6">
        <f t="shared" si="20"/>
        <v>0</v>
      </c>
      <c r="CE16" s="18"/>
      <c r="CF16" s="6"/>
      <c r="CG16" s="6">
        <f t="shared" si="21"/>
        <v>0</v>
      </c>
      <c r="CH16" s="19"/>
      <c r="CI16" s="6"/>
      <c r="CJ16" s="6">
        <f t="shared" si="22"/>
        <v>0</v>
      </c>
      <c r="CK16" s="6"/>
      <c r="CL16" s="6"/>
      <c r="CM16" s="6"/>
      <c r="CN16" s="18"/>
      <c r="CO16" s="6"/>
      <c r="CP16" s="31"/>
      <c r="CQ16" s="5"/>
      <c r="CR16" s="5"/>
      <c r="CS16" s="5"/>
      <c r="CT16" s="5"/>
      <c r="CU16" s="5"/>
      <c r="CV16" s="5"/>
      <c r="CW16" s="5"/>
      <c r="CX16" s="5"/>
      <c r="CY16" s="5"/>
      <c r="CZ16" s="20"/>
      <c r="DA16" s="5"/>
      <c r="DB16" s="5"/>
      <c r="DC16" s="1"/>
      <c r="DD16" s="5"/>
      <c r="DE16" s="5"/>
      <c r="DF16" s="21"/>
      <c r="DG16" s="5"/>
      <c r="DH16" s="5"/>
      <c r="DI16" s="21"/>
      <c r="DJ16" s="5"/>
      <c r="DK16" s="5"/>
      <c r="DL16" s="21"/>
      <c r="DM16" s="5"/>
      <c r="DN16" s="5"/>
      <c r="DO16" s="5"/>
      <c r="DP16" s="5"/>
      <c r="DQ16" s="5"/>
      <c r="DR16" s="21"/>
      <c r="DS16" s="5"/>
      <c r="DT16" s="5"/>
      <c r="DU16" s="20"/>
      <c r="DV16" s="5"/>
      <c r="DW16" s="5"/>
      <c r="DX16" s="20"/>
      <c r="DY16" s="5"/>
      <c r="DZ16" s="5"/>
      <c r="EA16" s="21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</row>
    <row r="17" spans="1:148" x14ac:dyDescent="0.35">
      <c r="A17" s="13" t="s">
        <v>20</v>
      </c>
      <c r="B17" s="1"/>
      <c r="C17" s="5"/>
      <c r="D17" s="5"/>
      <c r="E17" s="1"/>
      <c r="F17" s="5"/>
      <c r="G17" s="5"/>
      <c r="H17" s="1"/>
      <c r="I17" s="5"/>
      <c r="J17" s="5"/>
      <c r="K17" s="3"/>
      <c r="L17" s="5"/>
      <c r="M17" s="6">
        <f t="shared" si="3"/>
        <v>0</v>
      </c>
      <c r="N17" s="6"/>
      <c r="O17" s="6"/>
      <c r="P17" s="6"/>
      <c r="Q17" s="19"/>
      <c r="R17" s="6"/>
      <c r="S17" s="6">
        <f t="shared" si="5"/>
        <v>0</v>
      </c>
      <c r="T17" s="6"/>
      <c r="U17" s="6"/>
      <c r="V17" s="6"/>
      <c r="W17" s="6"/>
      <c r="X17" s="6"/>
      <c r="Y17" s="6"/>
      <c r="Z17" s="19"/>
      <c r="AA17" s="6"/>
      <c r="AB17" s="6"/>
      <c r="AC17" s="19"/>
      <c r="AD17" s="6"/>
      <c r="AE17" s="6"/>
      <c r="AF17" s="1"/>
      <c r="AG17" s="5"/>
      <c r="AH17" s="5"/>
      <c r="AI17" s="21"/>
      <c r="AJ17" s="5"/>
      <c r="AK17" s="5">
        <f t="shared" si="43"/>
        <v>0</v>
      </c>
      <c r="AL17" s="20"/>
      <c r="AM17" s="5"/>
      <c r="AN17" s="5"/>
      <c r="AO17" s="21"/>
      <c r="AP17" s="5"/>
      <c r="AQ17" s="5"/>
      <c r="AR17" s="5"/>
      <c r="AS17" s="5"/>
      <c r="AT17" s="5"/>
      <c r="AU17" s="1"/>
      <c r="AV17" s="5"/>
      <c r="AW17" s="5"/>
      <c r="AX17" s="1"/>
      <c r="AY17" s="5"/>
      <c r="AZ17" s="5"/>
      <c r="BA17" s="1"/>
      <c r="BB17" s="5"/>
      <c r="BC17" s="5"/>
      <c r="BD17" s="1"/>
      <c r="BE17" s="5"/>
      <c r="BF17" s="5"/>
      <c r="BG17" s="20"/>
      <c r="BH17" s="5"/>
      <c r="BI17" s="5"/>
      <c r="BJ17" s="21"/>
      <c r="BK17" s="5"/>
      <c r="BL17" s="29"/>
      <c r="BM17" s="20"/>
      <c r="BN17" s="5"/>
      <c r="BO17" s="5"/>
      <c r="BP17" s="5"/>
      <c r="BQ17" s="5"/>
      <c r="BR17" s="5"/>
      <c r="BS17" s="5"/>
      <c r="BT17" s="5"/>
      <c r="BU17" s="5"/>
      <c r="BV17" s="20"/>
      <c r="BW17" s="5"/>
      <c r="BX17" s="5"/>
      <c r="BY17" s="5"/>
      <c r="BZ17" s="5"/>
      <c r="CA17" s="5"/>
      <c r="CB17" s="18"/>
      <c r="CC17" s="6"/>
      <c r="CD17" s="6">
        <f t="shared" si="20"/>
        <v>0</v>
      </c>
      <c r="CE17" s="18"/>
      <c r="CF17" s="6"/>
      <c r="CG17" s="6">
        <f t="shared" si="21"/>
        <v>0</v>
      </c>
      <c r="CH17" s="19"/>
      <c r="CI17" s="6"/>
      <c r="CJ17" s="6">
        <f t="shared" si="22"/>
        <v>0</v>
      </c>
      <c r="CK17" s="6"/>
      <c r="CL17" s="6"/>
      <c r="CM17" s="6"/>
      <c r="CN17" s="18"/>
      <c r="CO17" s="6"/>
      <c r="CP17" s="31"/>
      <c r="CQ17" s="5"/>
      <c r="CR17" s="5"/>
      <c r="CS17" s="5"/>
      <c r="CT17" s="5"/>
      <c r="CU17" s="5"/>
      <c r="CV17" s="5"/>
      <c r="CW17" s="5"/>
      <c r="CX17" s="5"/>
      <c r="CY17" s="5"/>
      <c r="CZ17" s="20"/>
      <c r="DA17" s="5"/>
      <c r="DB17" s="5"/>
      <c r="DC17" s="1"/>
      <c r="DD17" s="5"/>
      <c r="DE17" s="5"/>
      <c r="DF17" s="21"/>
      <c r="DG17" s="5"/>
      <c r="DH17" s="5"/>
      <c r="DI17" s="21"/>
      <c r="DJ17" s="5"/>
      <c r="DK17" s="5"/>
      <c r="DL17" s="21"/>
      <c r="DM17" s="5"/>
      <c r="DN17" s="5"/>
      <c r="DO17" s="5"/>
      <c r="DP17" s="5"/>
      <c r="DQ17" s="5"/>
      <c r="DR17" s="21"/>
      <c r="DS17" s="5"/>
      <c r="DT17" s="5"/>
      <c r="DU17" s="20"/>
      <c r="DV17" s="5"/>
      <c r="DW17" s="5"/>
      <c r="DX17" s="20"/>
      <c r="DY17" s="5"/>
      <c r="DZ17" s="5"/>
      <c r="EA17" s="21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</row>
    <row r="18" spans="1:148" x14ac:dyDescent="0.35">
      <c r="A18" s="13" t="s">
        <v>21</v>
      </c>
      <c r="B18" s="1"/>
      <c r="C18" s="5"/>
      <c r="D18" s="5"/>
      <c r="E18" s="1"/>
      <c r="F18" s="5"/>
      <c r="G18" s="5"/>
      <c r="H18" s="1"/>
      <c r="I18" s="5"/>
      <c r="J18" s="5"/>
      <c r="K18" s="3"/>
      <c r="L18" s="5"/>
      <c r="M18" s="6">
        <f t="shared" si="3"/>
        <v>0</v>
      </c>
      <c r="N18" s="6"/>
      <c r="O18" s="6"/>
      <c r="P18" s="6"/>
      <c r="Q18" s="19"/>
      <c r="R18" s="6"/>
      <c r="S18" s="6"/>
      <c r="T18" s="6"/>
      <c r="U18" s="6"/>
      <c r="V18" s="6"/>
      <c r="W18" s="6"/>
      <c r="X18" s="6"/>
      <c r="Y18" s="6"/>
      <c r="Z18" s="19"/>
      <c r="AA18" s="6"/>
      <c r="AB18" s="6"/>
      <c r="AC18" s="19"/>
      <c r="AD18" s="6"/>
      <c r="AE18" s="6"/>
      <c r="AF18" s="1"/>
      <c r="AG18" s="5"/>
      <c r="AH18" s="5"/>
      <c r="AI18" s="21"/>
      <c r="AJ18" s="5"/>
      <c r="AK18" s="5">
        <f t="shared" si="43"/>
        <v>0</v>
      </c>
      <c r="AL18" s="20"/>
      <c r="AM18" s="5"/>
      <c r="AN18" s="5"/>
      <c r="AO18" s="21"/>
      <c r="AP18" s="5"/>
      <c r="AQ18" s="5"/>
      <c r="AR18" s="5"/>
      <c r="AS18" s="5"/>
      <c r="AT18" s="5"/>
      <c r="AU18" s="1"/>
      <c r="AV18" s="5"/>
      <c r="AW18" s="5"/>
      <c r="AX18" s="1"/>
      <c r="AY18" s="5"/>
      <c r="AZ18" s="5"/>
      <c r="BA18" s="1"/>
      <c r="BB18" s="5"/>
      <c r="BC18" s="5"/>
      <c r="BD18" s="1"/>
      <c r="BE18" s="5"/>
      <c r="BF18" s="5"/>
      <c r="BG18" s="20"/>
      <c r="BH18" s="5"/>
      <c r="BI18" s="5"/>
      <c r="BJ18" s="21"/>
      <c r="BK18" s="5"/>
      <c r="BL18" s="29"/>
      <c r="BM18" s="20"/>
      <c r="BN18" s="5"/>
      <c r="BO18" s="5"/>
      <c r="BP18" s="5"/>
      <c r="BQ18" s="5"/>
      <c r="BR18" s="5"/>
      <c r="BS18" s="5"/>
      <c r="BT18" s="5"/>
      <c r="BU18" s="5"/>
      <c r="BV18" s="20"/>
      <c r="BW18" s="5"/>
      <c r="BX18" s="5"/>
      <c r="BY18" s="5"/>
      <c r="BZ18" s="5"/>
      <c r="CA18" s="5"/>
      <c r="CB18" s="18"/>
      <c r="CC18" s="6"/>
      <c r="CD18" s="6">
        <f t="shared" si="20"/>
        <v>0</v>
      </c>
      <c r="CE18" s="18"/>
      <c r="CF18" s="6"/>
      <c r="CG18" s="6">
        <f t="shared" si="21"/>
        <v>0</v>
      </c>
      <c r="CH18" s="19"/>
      <c r="CI18" s="6"/>
      <c r="CJ18" s="6">
        <f t="shared" si="22"/>
        <v>0</v>
      </c>
      <c r="CK18" s="6"/>
      <c r="CL18" s="6"/>
      <c r="CM18" s="6"/>
      <c r="CN18" s="18"/>
      <c r="CO18" s="6"/>
      <c r="CP18" s="31"/>
      <c r="CQ18" s="5"/>
      <c r="CR18" s="5"/>
      <c r="CS18" s="5"/>
      <c r="CT18" s="5"/>
      <c r="CU18" s="5"/>
      <c r="CV18" s="5"/>
      <c r="CW18" s="5"/>
      <c r="CX18" s="5"/>
      <c r="CY18" s="5"/>
      <c r="CZ18" s="20"/>
      <c r="DA18" s="5"/>
      <c r="DB18" s="5"/>
      <c r="DC18" s="1"/>
      <c r="DD18" s="5"/>
      <c r="DE18" s="5"/>
      <c r="DF18" s="21"/>
      <c r="DG18" s="5"/>
      <c r="DH18" s="5"/>
      <c r="DI18" s="21"/>
      <c r="DJ18" s="5"/>
      <c r="DK18" s="5"/>
      <c r="DL18" s="21"/>
      <c r="DM18" s="5"/>
      <c r="DN18" s="5"/>
      <c r="DO18" s="5"/>
      <c r="DP18" s="5"/>
      <c r="DQ18" s="5"/>
      <c r="DR18" s="21"/>
      <c r="DS18" s="5"/>
      <c r="DT18" s="5"/>
      <c r="DU18" s="20"/>
      <c r="DV18" s="5"/>
      <c r="DW18" s="5"/>
      <c r="DX18" s="20"/>
      <c r="DY18" s="5"/>
      <c r="DZ18" s="5"/>
      <c r="EA18" s="21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</row>
    <row r="19" spans="1:148" x14ac:dyDescent="0.35">
      <c r="A19" s="13" t="s">
        <v>22</v>
      </c>
      <c r="B19" s="1"/>
      <c r="C19" s="5"/>
      <c r="D19" s="5"/>
      <c r="E19" s="1"/>
      <c r="F19" s="5"/>
      <c r="G19" s="5"/>
      <c r="H19" s="1"/>
      <c r="I19" s="5"/>
      <c r="J19" s="5"/>
      <c r="K19" s="3"/>
      <c r="L19" s="5"/>
      <c r="M19" s="6">
        <f t="shared" si="3"/>
        <v>0</v>
      </c>
      <c r="N19" s="6"/>
      <c r="O19" s="6"/>
      <c r="P19" s="6"/>
      <c r="Q19" s="19"/>
      <c r="R19" s="6"/>
      <c r="S19" s="6"/>
      <c r="T19" s="6"/>
      <c r="U19" s="6"/>
      <c r="V19" s="6"/>
      <c r="W19" s="6"/>
      <c r="X19" s="6"/>
      <c r="Y19" s="6"/>
      <c r="Z19" s="19"/>
      <c r="AA19" s="6"/>
      <c r="AB19" s="6"/>
      <c r="AC19" s="19"/>
      <c r="AD19" s="6"/>
      <c r="AE19" s="6"/>
      <c r="AF19" s="1"/>
      <c r="AG19" s="5"/>
      <c r="AH19" s="5"/>
      <c r="AI19" s="21"/>
      <c r="AJ19" s="5"/>
      <c r="AK19" s="5"/>
      <c r="AL19" s="20"/>
      <c r="AM19" s="5"/>
      <c r="AN19" s="5"/>
      <c r="AO19" s="21"/>
      <c r="AP19" s="5"/>
      <c r="AQ19" s="5"/>
      <c r="AR19" s="5"/>
      <c r="AS19" s="5"/>
      <c r="AT19" s="5"/>
      <c r="AU19" s="1"/>
      <c r="AV19" s="5"/>
      <c r="AW19" s="5"/>
      <c r="AX19" s="1"/>
      <c r="AY19" s="5"/>
      <c r="AZ19" s="5"/>
      <c r="BA19" s="1"/>
      <c r="BB19" s="5"/>
      <c r="BC19" s="5"/>
      <c r="BD19" s="1"/>
      <c r="BE19" s="5"/>
      <c r="BF19" s="5"/>
      <c r="BG19" s="20"/>
      <c r="BH19" s="5"/>
      <c r="BI19" s="5"/>
      <c r="BJ19" s="21"/>
      <c r="BK19" s="5"/>
      <c r="BL19" s="29"/>
      <c r="BM19" s="20"/>
      <c r="BN19" s="5"/>
      <c r="BO19" s="5"/>
      <c r="BP19" s="5"/>
      <c r="BQ19" s="5"/>
      <c r="BR19" s="5"/>
      <c r="BS19" s="5"/>
      <c r="BT19" s="5"/>
      <c r="BU19" s="5"/>
      <c r="BV19" s="20"/>
      <c r="BW19" s="5"/>
      <c r="BX19" s="5"/>
      <c r="BY19" s="5"/>
      <c r="BZ19" s="5"/>
      <c r="CA19" s="5"/>
      <c r="CB19" s="18"/>
      <c r="CC19" s="6"/>
      <c r="CD19" s="6">
        <f t="shared" si="20"/>
        <v>0</v>
      </c>
      <c r="CE19" s="18"/>
      <c r="CF19" s="6"/>
      <c r="CG19" s="6">
        <f t="shared" si="21"/>
        <v>0</v>
      </c>
      <c r="CH19" s="19"/>
      <c r="CI19" s="6"/>
      <c r="CJ19" s="6">
        <f t="shared" si="22"/>
        <v>0</v>
      </c>
      <c r="CK19" s="6"/>
      <c r="CL19" s="6"/>
      <c r="CM19" s="6"/>
      <c r="CN19" s="18"/>
      <c r="CO19" s="6"/>
      <c r="CP19" s="31"/>
      <c r="CQ19" s="5"/>
      <c r="CR19" s="5"/>
      <c r="CS19" s="5"/>
      <c r="CT19" s="5"/>
      <c r="CU19" s="5"/>
      <c r="CV19" s="5"/>
      <c r="CW19" s="5"/>
      <c r="CX19" s="5"/>
      <c r="CY19" s="5"/>
      <c r="CZ19" s="20"/>
      <c r="DA19" s="5"/>
      <c r="DB19" s="5"/>
      <c r="DC19" s="1"/>
      <c r="DD19" s="5"/>
      <c r="DE19" s="5"/>
      <c r="DF19" s="21"/>
      <c r="DG19" s="5"/>
      <c r="DH19" s="5"/>
      <c r="DI19" s="21"/>
      <c r="DJ19" s="5"/>
      <c r="DK19" s="5"/>
      <c r="DL19" s="21"/>
      <c r="DM19" s="5"/>
      <c r="DN19" s="5"/>
      <c r="DO19" s="5"/>
      <c r="DP19" s="5"/>
      <c r="DQ19" s="5"/>
      <c r="DR19" s="21"/>
      <c r="DS19" s="5"/>
      <c r="DT19" s="5"/>
      <c r="DU19" s="20"/>
      <c r="DV19" s="5"/>
      <c r="DW19" s="5"/>
      <c r="DX19" s="20"/>
      <c r="DY19" s="5"/>
      <c r="DZ19" s="5"/>
      <c r="EA19" s="21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</row>
    <row r="20" spans="1:148" x14ac:dyDescent="0.35">
      <c r="A20" s="13" t="s">
        <v>23</v>
      </c>
      <c r="B20" s="1"/>
      <c r="C20" s="5"/>
      <c r="D20" s="5"/>
      <c r="E20" s="1"/>
      <c r="F20" s="5"/>
      <c r="G20" s="5"/>
      <c r="H20" s="1"/>
      <c r="I20" s="5"/>
      <c r="J20" s="5"/>
      <c r="K20" s="3"/>
      <c r="L20" s="5"/>
      <c r="M20" s="6">
        <f t="shared" si="3"/>
        <v>0</v>
      </c>
      <c r="N20" s="6"/>
      <c r="O20" s="6"/>
      <c r="P20" s="6"/>
      <c r="Q20" s="19"/>
      <c r="R20" s="6"/>
      <c r="S20" s="6"/>
      <c r="T20" s="6"/>
      <c r="U20" s="6"/>
      <c r="V20" s="6"/>
      <c r="W20" s="6"/>
      <c r="X20" s="6"/>
      <c r="Y20" s="6"/>
      <c r="Z20" s="19"/>
      <c r="AA20" s="6"/>
      <c r="AB20" s="6"/>
      <c r="AC20" s="19"/>
      <c r="AD20" s="6"/>
      <c r="AE20" s="6"/>
      <c r="AF20" s="1"/>
      <c r="AG20" s="5"/>
      <c r="AH20" s="5"/>
      <c r="AI20" s="21"/>
      <c r="AJ20" s="5"/>
      <c r="AK20" s="5"/>
      <c r="AL20" s="20"/>
      <c r="AM20" s="5"/>
      <c r="AN20" s="5"/>
      <c r="AO20" s="21"/>
      <c r="AP20" s="5"/>
      <c r="AQ20" s="5"/>
      <c r="AR20" s="5"/>
      <c r="AS20" s="5"/>
      <c r="AT20" s="5"/>
      <c r="AU20" s="1"/>
      <c r="AV20" s="5"/>
      <c r="AW20" s="5"/>
      <c r="AX20" s="1"/>
      <c r="AY20" s="5"/>
      <c r="AZ20" s="5"/>
      <c r="BA20" s="1"/>
      <c r="BB20" s="5"/>
      <c r="BC20" s="5"/>
      <c r="BD20" s="1"/>
      <c r="BE20" s="5"/>
      <c r="BF20" s="5"/>
      <c r="BG20" s="20"/>
      <c r="BH20" s="5"/>
      <c r="BI20" s="5"/>
      <c r="BJ20" s="21"/>
      <c r="BK20" s="5"/>
      <c r="BL20" s="29"/>
      <c r="BM20" s="20"/>
      <c r="BN20" s="5"/>
      <c r="BO20" s="5"/>
      <c r="BP20" s="5"/>
      <c r="BQ20" s="5"/>
      <c r="BR20" s="5"/>
      <c r="BS20" s="5"/>
      <c r="BT20" s="5"/>
      <c r="BU20" s="5"/>
      <c r="BV20" s="20"/>
      <c r="BW20" s="5"/>
      <c r="BX20" s="5"/>
      <c r="BY20" s="5"/>
      <c r="BZ20" s="5"/>
      <c r="CA20" s="5"/>
      <c r="CB20" s="18"/>
      <c r="CC20" s="6"/>
      <c r="CD20" s="6">
        <f t="shared" si="20"/>
        <v>0</v>
      </c>
      <c r="CE20" s="18"/>
      <c r="CF20" s="6"/>
      <c r="CG20" s="6">
        <f t="shared" si="21"/>
        <v>0</v>
      </c>
      <c r="CH20" s="19"/>
      <c r="CI20" s="6"/>
      <c r="CJ20" s="6">
        <f t="shared" si="22"/>
        <v>0</v>
      </c>
      <c r="CK20" s="6"/>
      <c r="CL20" s="6"/>
      <c r="CM20" s="6"/>
      <c r="CN20" s="18"/>
      <c r="CO20" s="6"/>
      <c r="CP20" s="31"/>
      <c r="CQ20" s="5"/>
      <c r="CR20" s="5"/>
      <c r="CS20" s="5"/>
      <c r="CT20" s="5"/>
      <c r="CU20" s="5"/>
      <c r="CV20" s="5"/>
      <c r="CW20" s="5"/>
      <c r="CX20" s="5"/>
      <c r="CY20" s="5"/>
      <c r="CZ20" s="20"/>
      <c r="DA20" s="5"/>
      <c r="DB20" s="5"/>
      <c r="DC20" s="1"/>
      <c r="DD20" s="5"/>
      <c r="DE20" s="5"/>
      <c r="DF20" s="21"/>
      <c r="DG20" s="5"/>
      <c r="DH20" s="5"/>
      <c r="DI20" s="21"/>
      <c r="DJ20" s="5"/>
      <c r="DK20" s="5"/>
      <c r="DL20" s="21"/>
      <c r="DM20" s="5"/>
      <c r="DN20" s="5"/>
      <c r="DO20" s="5"/>
      <c r="DP20" s="5"/>
      <c r="DQ20" s="5"/>
      <c r="DR20" s="21"/>
      <c r="DS20" s="5"/>
      <c r="DT20" s="5"/>
      <c r="DU20" s="20"/>
      <c r="DV20" s="5"/>
      <c r="DW20" s="5"/>
      <c r="DX20" s="20"/>
      <c r="DY20" s="5"/>
      <c r="DZ20" s="5"/>
      <c r="EA20" s="21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</row>
    <row r="21" spans="1:148" x14ac:dyDescent="0.35">
      <c r="A21" s="14" t="s">
        <v>24</v>
      </c>
      <c r="B21" s="1"/>
      <c r="C21" s="5"/>
      <c r="D21" s="5"/>
      <c r="E21" s="1"/>
      <c r="F21" s="5"/>
      <c r="G21" s="5"/>
      <c r="H21" s="1"/>
      <c r="I21" s="5"/>
      <c r="J21" s="5"/>
      <c r="K21" s="3"/>
      <c r="L21" s="5"/>
      <c r="M21" s="5"/>
      <c r="N21" s="5"/>
      <c r="O21" s="5"/>
      <c r="P21" s="5"/>
      <c r="Q21" s="21"/>
      <c r="R21" s="5"/>
      <c r="S21" s="5"/>
      <c r="T21" s="5"/>
      <c r="U21" s="5"/>
      <c r="V21" s="5"/>
      <c r="W21" s="5"/>
      <c r="X21" s="5"/>
      <c r="Y21" s="5"/>
      <c r="Z21" s="21"/>
      <c r="AA21" s="5"/>
      <c r="AB21" s="5"/>
      <c r="AC21" s="21"/>
      <c r="AD21" s="5"/>
      <c r="AE21" s="5"/>
      <c r="AF21" s="1"/>
      <c r="AG21" s="5"/>
      <c r="AH21" s="5"/>
      <c r="AI21" s="21"/>
      <c r="AJ21" s="5"/>
      <c r="AK21" s="5"/>
      <c r="AL21" s="20"/>
      <c r="AM21" s="5"/>
      <c r="AN21" s="5"/>
      <c r="AO21" s="21"/>
      <c r="AP21" s="5"/>
      <c r="AQ21" s="5"/>
      <c r="AR21" s="5"/>
      <c r="AS21" s="5"/>
      <c r="AT21" s="5"/>
      <c r="AU21" s="1"/>
      <c r="AV21" s="5"/>
      <c r="AW21" s="5"/>
      <c r="AX21" s="1"/>
      <c r="AY21" s="5"/>
      <c r="AZ21" s="5"/>
      <c r="BA21" s="1"/>
      <c r="BB21" s="5"/>
      <c r="BC21" s="5"/>
      <c r="BD21" s="1"/>
      <c r="BE21" s="5"/>
      <c r="BF21" s="5"/>
      <c r="BG21" s="20"/>
      <c r="BH21" s="5"/>
      <c r="BI21" s="5"/>
      <c r="BJ21" s="21"/>
      <c r="BK21" s="5"/>
      <c r="BL21" s="29"/>
      <c r="BM21" s="20"/>
      <c r="BN21" s="5"/>
      <c r="BO21" s="5"/>
      <c r="BP21" s="5"/>
      <c r="BQ21" s="5"/>
      <c r="BR21" s="5"/>
      <c r="BS21" s="5"/>
      <c r="BT21" s="5"/>
      <c r="BU21" s="5"/>
      <c r="BV21" s="20"/>
      <c r="BW21" s="5"/>
      <c r="BX21" s="5"/>
      <c r="BY21" s="5"/>
      <c r="BZ21" s="5"/>
      <c r="CA21" s="5"/>
      <c r="CB21" s="18"/>
      <c r="CC21" s="6"/>
      <c r="CD21" s="6">
        <f t="shared" si="20"/>
        <v>0</v>
      </c>
      <c r="CE21" s="18"/>
      <c r="CF21" s="6"/>
      <c r="CG21" s="6">
        <f t="shared" si="21"/>
        <v>0</v>
      </c>
      <c r="CH21" s="19"/>
      <c r="CI21" s="6"/>
      <c r="CJ21" s="6">
        <f t="shared" si="22"/>
        <v>0</v>
      </c>
      <c r="CK21" s="6"/>
      <c r="CL21" s="6"/>
      <c r="CM21" s="6"/>
      <c r="CN21" s="18"/>
      <c r="CO21" s="6"/>
      <c r="CP21" s="31"/>
      <c r="CQ21" s="5"/>
      <c r="CR21" s="5"/>
      <c r="CS21" s="5"/>
      <c r="CT21" s="5"/>
      <c r="CU21" s="5"/>
      <c r="CV21" s="5"/>
      <c r="CW21" s="5"/>
      <c r="CX21" s="5"/>
      <c r="CY21" s="5"/>
      <c r="CZ21" s="20"/>
      <c r="DA21" s="5"/>
      <c r="DB21" s="5"/>
      <c r="DC21" s="1"/>
      <c r="DD21" s="5"/>
      <c r="DE21" s="5"/>
      <c r="DF21" s="21"/>
      <c r="DG21" s="5"/>
      <c r="DH21" s="5"/>
      <c r="DI21" s="21"/>
      <c r="DJ21" s="5"/>
      <c r="DK21" s="5"/>
      <c r="DL21" s="21"/>
      <c r="DM21" s="5"/>
      <c r="DN21" s="5"/>
      <c r="DO21" s="5"/>
      <c r="DP21" s="5"/>
      <c r="DQ21" s="5"/>
      <c r="DR21" s="21"/>
      <c r="DS21" s="5"/>
      <c r="DT21" s="5"/>
      <c r="DU21" s="20"/>
      <c r="DV21" s="5"/>
      <c r="DW21" s="5"/>
      <c r="DX21" s="20"/>
      <c r="DY21" s="5"/>
      <c r="DZ21" s="5"/>
      <c r="EA21" s="21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</row>
    <row r="22" spans="1:148" x14ac:dyDescent="0.35">
      <c r="A22" s="14" t="s">
        <v>25</v>
      </c>
      <c r="B22" s="1"/>
      <c r="C22" s="5"/>
      <c r="D22" s="5"/>
      <c r="E22" s="1"/>
      <c r="F22" s="5"/>
      <c r="G22" s="5"/>
      <c r="H22" s="1"/>
      <c r="I22" s="5"/>
      <c r="J22" s="5"/>
      <c r="K22" s="3"/>
      <c r="L22" s="5"/>
      <c r="M22" s="5"/>
      <c r="N22" s="5"/>
      <c r="O22" s="5"/>
      <c r="P22" s="5"/>
      <c r="Q22" s="21"/>
      <c r="R22" s="5"/>
      <c r="S22" s="5"/>
      <c r="T22" s="5"/>
      <c r="U22" s="5"/>
      <c r="V22" s="5"/>
      <c r="W22" s="5"/>
      <c r="X22" s="5"/>
      <c r="Y22" s="5"/>
      <c r="Z22" s="21"/>
      <c r="AA22" s="5"/>
      <c r="AB22" s="5"/>
      <c r="AC22" s="21"/>
      <c r="AD22" s="5"/>
      <c r="AE22" s="5"/>
      <c r="AF22" s="1"/>
      <c r="AG22" s="5"/>
      <c r="AH22" s="5"/>
      <c r="AI22" s="21"/>
      <c r="AJ22" s="5"/>
      <c r="AK22" s="5"/>
      <c r="AL22" s="20"/>
      <c r="AM22" s="5"/>
      <c r="AN22" s="5"/>
      <c r="AO22" s="21"/>
      <c r="AP22" s="5"/>
      <c r="AQ22" s="5"/>
      <c r="AR22" s="5"/>
      <c r="AS22" s="5"/>
      <c r="AT22" s="5"/>
      <c r="AU22" s="1"/>
      <c r="AV22" s="5"/>
      <c r="AW22" s="5"/>
      <c r="AX22" s="1"/>
      <c r="AY22" s="5"/>
      <c r="AZ22" s="5"/>
      <c r="BA22" s="1"/>
      <c r="BB22" s="5"/>
      <c r="BC22" s="5"/>
      <c r="BD22" s="1"/>
      <c r="BE22" s="5"/>
      <c r="BF22" s="5"/>
      <c r="BG22" s="20"/>
      <c r="BH22" s="5"/>
      <c r="BI22" s="5"/>
      <c r="BJ22" s="21"/>
      <c r="BK22" s="5"/>
      <c r="BL22" s="29"/>
      <c r="BM22" s="20"/>
      <c r="BN22" s="5"/>
      <c r="BO22" s="5"/>
      <c r="BP22" s="5"/>
      <c r="BQ22" s="5"/>
      <c r="BR22" s="5"/>
      <c r="BS22" s="5"/>
      <c r="BT22" s="5"/>
      <c r="BU22" s="5"/>
      <c r="BV22" s="20"/>
      <c r="BW22" s="5"/>
      <c r="BX22" s="5"/>
      <c r="BY22" s="5"/>
      <c r="BZ22" s="5"/>
      <c r="CA22" s="5"/>
      <c r="CB22" s="18"/>
      <c r="CC22" s="6"/>
      <c r="CD22" s="6">
        <f t="shared" si="20"/>
        <v>0</v>
      </c>
      <c r="CE22" s="18"/>
      <c r="CF22" s="6"/>
      <c r="CG22" s="6">
        <f t="shared" si="21"/>
        <v>0</v>
      </c>
      <c r="CH22" s="19"/>
      <c r="CI22" s="6"/>
      <c r="CJ22" s="6">
        <f t="shared" si="22"/>
        <v>0</v>
      </c>
      <c r="CK22" s="6"/>
      <c r="CL22" s="6"/>
      <c r="CM22" s="6"/>
      <c r="CN22" s="18"/>
      <c r="CO22" s="6"/>
      <c r="CP22" s="31"/>
      <c r="CQ22" s="5"/>
      <c r="CR22" s="5"/>
      <c r="CS22" s="5"/>
      <c r="CT22" s="5"/>
      <c r="CU22" s="5"/>
      <c r="CV22" s="5"/>
      <c r="CW22" s="5"/>
      <c r="CX22" s="5"/>
      <c r="CY22" s="5"/>
      <c r="CZ22" s="20"/>
      <c r="DA22" s="5"/>
      <c r="DB22" s="5"/>
      <c r="DC22" s="1"/>
      <c r="DD22" s="5"/>
      <c r="DE22" s="5"/>
      <c r="DF22" s="21"/>
      <c r="DG22" s="5"/>
      <c r="DH22" s="5"/>
      <c r="DI22" s="21"/>
      <c r="DJ22" s="5"/>
      <c r="DK22" s="5"/>
      <c r="DL22" s="21"/>
      <c r="DM22" s="5"/>
      <c r="DN22" s="5"/>
      <c r="DO22" s="5"/>
      <c r="DP22" s="5"/>
      <c r="DQ22" s="5"/>
      <c r="DR22" s="21"/>
      <c r="DS22" s="5"/>
      <c r="DT22" s="5"/>
      <c r="DU22" s="20"/>
      <c r="DV22" s="5"/>
      <c r="DW22" s="5"/>
      <c r="DX22" s="20"/>
      <c r="DY22" s="5"/>
      <c r="DZ22" s="5"/>
      <c r="EA22" s="21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</row>
    <row r="23" spans="1:148" x14ac:dyDescent="0.35">
      <c r="A23" s="14" t="s">
        <v>26</v>
      </c>
      <c r="B23" s="1"/>
      <c r="C23" s="5"/>
      <c r="D23" s="5"/>
      <c r="E23" s="1"/>
      <c r="F23" s="5"/>
      <c r="G23" s="5"/>
      <c r="H23" s="1"/>
      <c r="I23" s="5"/>
      <c r="J23" s="5"/>
      <c r="K23" s="3"/>
      <c r="L23" s="5"/>
      <c r="M23" s="5"/>
      <c r="N23" s="5"/>
      <c r="O23" s="5"/>
      <c r="P23" s="5"/>
      <c r="Q23" s="21"/>
      <c r="R23" s="5"/>
      <c r="S23" s="5"/>
      <c r="T23" s="5"/>
      <c r="U23" s="5"/>
      <c r="V23" s="5"/>
      <c r="W23" s="5"/>
      <c r="X23" s="5"/>
      <c r="Y23" s="5"/>
      <c r="Z23" s="21"/>
      <c r="AA23" s="5"/>
      <c r="AB23" s="5"/>
      <c r="AC23" s="21"/>
      <c r="AD23" s="5"/>
      <c r="AE23" s="5"/>
      <c r="AF23" s="1"/>
      <c r="AG23" s="5"/>
      <c r="AH23" s="5"/>
      <c r="AI23" s="21"/>
      <c r="AJ23" s="5"/>
      <c r="AK23" s="5"/>
      <c r="AL23" s="20"/>
      <c r="AM23" s="5"/>
      <c r="AN23" s="5"/>
      <c r="AO23" s="21"/>
      <c r="AP23" s="5"/>
      <c r="AQ23" s="5"/>
      <c r="AR23" s="5"/>
      <c r="AS23" s="5"/>
      <c r="AT23" s="5"/>
      <c r="AU23" s="1"/>
      <c r="AV23" s="5"/>
      <c r="AW23" s="5"/>
      <c r="AX23" s="1"/>
      <c r="AY23" s="5"/>
      <c r="AZ23" s="5"/>
      <c r="BA23" s="1"/>
      <c r="BB23" s="5"/>
      <c r="BC23" s="5"/>
      <c r="BD23" s="1"/>
      <c r="BE23" s="5"/>
      <c r="BF23" s="5"/>
      <c r="BG23" s="20"/>
      <c r="BH23" s="5"/>
      <c r="BI23" s="5"/>
      <c r="BJ23" s="21"/>
      <c r="BK23" s="5"/>
      <c r="BL23" s="29"/>
      <c r="BM23" s="20"/>
      <c r="BN23" s="5"/>
      <c r="BO23" s="5"/>
      <c r="BP23" s="5"/>
      <c r="BQ23" s="5"/>
      <c r="BR23" s="5"/>
      <c r="BS23" s="5"/>
      <c r="BT23" s="5"/>
      <c r="BU23" s="5"/>
      <c r="BV23" s="20"/>
      <c r="BW23" s="5"/>
      <c r="BX23" s="5"/>
      <c r="BY23" s="5"/>
      <c r="BZ23" s="5"/>
      <c r="CA23" s="5"/>
      <c r="CB23" s="18"/>
      <c r="CC23" s="6"/>
      <c r="CD23" s="6">
        <f t="shared" si="20"/>
        <v>0</v>
      </c>
      <c r="CE23" s="18"/>
      <c r="CF23" s="6"/>
      <c r="CG23" s="6">
        <f t="shared" si="21"/>
        <v>0</v>
      </c>
      <c r="CH23" s="19"/>
      <c r="CI23" s="6"/>
      <c r="CJ23" s="6">
        <f t="shared" si="22"/>
        <v>0</v>
      </c>
      <c r="CK23" s="6"/>
      <c r="CL23" s="6"/>
      <c r="CM23" s="6"/>
      <c r="CN23" s="18"/>
      <c r="CO23" s="6"/>
      <c r="CP23" s="31"/>
      <c r="CQ23" s="5"/>
      <c r="CR23" s="5"/>
      <c r="CS23" s="5"/>
      <c r="CT23" s="5"/>
      <c r="CU23" s="5"/>
      <c r="CV23" s="5"/>
      <c r="CW23" s="5"/>
      <c r="CX23" s="5"/>
      <c r="CY23" s="5"/>
      <c r="CZ23" s="20"/>
      <c r="DA23" s="5"/>
      <c r="DB23" s="5"/>
      <c r="DC23" s="1"/>
      <c r="DD23" s="5"/>
      <c r="DE23" s="5"/>
      <c r="DF23" s="21"/>
      <c r="DG23" s="5"/>
      <c r="DH23" s="5"/>
      <c r="DI23" s="21"/>
      <c r="DJ23" s="5"/>
      <c r="DK23" s="5"/>
      <c r="DL23" s="21"/>
      <c r="DM23" s="5"/>
      <c r="DN23" s="5"/>
      <c r="DO23" s="5"/>
      <c r="DP23" s="5"/>
      <c r="DQ23" s="5"/>
      <c r="DR23" s="21"/>
      <c r="DS23" s="5"/>
      <c r="DT23" s="5"/>
      <c r="DU23" s="20"/>
      <c r="DV23" s="5"/>
      <c r="DW23" s="5"/>
      <c r="DX23" s="20"/>
      <c r="DY23" s="5"/>
      <c r="DZ23" s="5"/>
      <c r="EA23" s="21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</row>
    <row r="24" spans="1:148" x14ac:dyDescent="0.35">
      <c r="A24" s="14" t="s">
        <v>27</v>
      </c>
      <c r="B24" s="1"/>
      <c r="C24" s="5"/>
      <c r="D24" s="5"/>
      <c r="E24" s="1"/>
      <c r="F24" s="5"/>
      <c r="G24" s="5"/>
      <c r="H24" s="1"/>
      <c r="I24" s="5"/>
      <c r="J24" s="5"/>
      <c r="K24" s="3"/>
      <c r="L24" s="5"/>
      <c r="M24" s="5"/>
      <c r="N24" s="5"/>
      <c r="O24" s="5"/>
      <c r="P24" s="5"/>
      <c r="Q24" s="21"/>
      <c r="R24" s="5"/>
      <c r="S24" s="5"/>
      <c r="T24" s="5"/>
      <c r="U24" s="5"/>
      <c r="V24" s="5"/>
      <c r="W24" s="5"/>
      <c r="X24" s="5"/>
      <c r="Y24" s="5"/>
      <c r="Z24" s="21"/>
      <c r="AA24" s="5"/>
      <c r="AB24" s="5"/>
      <c r="AC24" s="21"/>
      <c r="AD24" s="5"/>
      <c r="AE24" s="5"/>
      <c r="AF24" s="1"/>
      <c r="AG24" s="5"/>
      <c r="AH24" s="5"/>
      <c r="AI24" s="21"/>
      <c r="AJ24" s="5"/>
      <c r="AK24" s="5"/>
      <c r="AL24" s="20"/>
      <c r="AM24" s="5"/>
      <c r="AN24" s="5"/>
      <c r="AO24" s="21"/>
      <c r="AP24" s="5"/>
      <c r="AQ24" s="5"/>
      <c r="AR24" s="5"/>
      <c r="AS24" s="5"/>
      <c r="AT24" s="5"/>
      <c r="AU24" s="1"/>
      <c r="AV24" s="5"/>
      <c r="AW24" s="5"/>
      <c r="AX24" s="1"/>
      <c r="AY24" s="5"/>
      <c r="AZ24" s="5"/>
      <c r="BA24" s="1"/>
      <c r="BB24" s="5"/>
      <c r="BC24" s="5"/>
      <c r="BD24" s="1"/>
      <c r="BE24" s="5"/>
      <c r="BF24" s="5"/>
      <c r="BG24" s="20"/>
      <c r="BH24" s="5"/>
      <c r="BI24" s="5"/>
      <c r="BJ24" s="21"/>
      <c r="BK24" s="5"/>
      <c r="BL24" s="29"/>
      <c r="BM24" s="20"/>
      <c r="BN24" s="5"/>
      <c r="BO24" s="5"/>
      <c r="BP24" s="5"/>
      <c r="BQ24" s="5"/>
      <c r="BR24" s="5"/>
      <c r="BS24" s="5"/>
      <c r="BT24" s="5"/>
      <c r="BU24" s="5"/>
      <c r="BV24" s="20"/>
      <c r="BW24" s="5"/>
      <c r="BX24" s="5"/>
      <c r="BY24" s="5"/>
      <c r="BZ24" s="5"/>
      <c r="CA24" s="5"/>
      <c r="CB24" s="20"/>
      <c r="CC24" s="5"/>
      <c r="CD24" s="6">
        <f t="shared" si="20"/>
        <v>0</v>
      </c>
      <c r="CE24" s="18"/>
      <c r="CF24" s="6"/>
      <c r="CG24" s="6">
        <f t="shared" si="21"/>
        <v>0</v>
      </c>
      <c r="CH24" s="19"/>
      <c r="CI24" s="6"/>
      <c r="CJ24" s="6">
        <f t="shared" si="22"/>
        <v>0</v>
      </c>
      <c r="CK24" s="6"/>
      <c r="CL24" s="6"/>
      <c r="CM24" s="6"/>
      <c r="CN24" s="18"/>
      <c r="CO24" s="6"/>
      <c r="CP24" s="31"/>
      <c r="CQ24" s="5"/>
      <c r="CR24" s="5"/>
      <c r="CS24" s="5"/>
      <c r="CT24" s="5"/>
      <c r="CU24" s="5"/>
      <c r="CV24" s="5"/>
      <c r="CW24" s="5"/>
      <c r="CX24" s="5"/>
      <c r="CY24" s="5"/>
      <c r="CZ24" s="20"/>
      <c r="DA24" s="5"/>
      <c r="DB24" s="5"/>
      <c r="DC24" s="1"/>
      <c r="DD24" s="5"/>
      <c r="DE24" s="5"/>
      <c r="DF24" s="21"/>
      <c r="DG24" s="5"/>
      <c r="DH24" s="5"/>
      <c r="DI24" s="21"/>
      <c r="DJ24" s="5"/>
      <c r="DK24" s="5"/>
      <c r="DL24" s="21"/>
      <c r="DM24" s="5"/>
      <c r="DN24" s="5"/>
      <c r="DO24" s="5"/>
      <c r="DP24" s="5"/>
      <c r="DQ24" s="5"/>
      <c r="DR24" s="21"/>
      <c r="DS24" s="5"/>
      <c r="DT24" s="5"/>
      <c r="DU24" s="20"/>
      <c r="DV24" s="5"/>
      <c r="DW24" s="5"/>
      <c r="DX24" s="20"/>
      <c r="DY24" s="5"/>
      <c r="DZ24" s="5"/>
      <c r="EA24" s="21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</row>
    <row r="25" spans="1:148" x14ac:dyDescent="0.35">
      <c r="A25" s="14" t="s">
        <v>28</v>
      </c>
      <c r="B25" s="1"/>
      <c r="C25" s="5"/>
      <c r="D25" s="5"/>
      <c r="E25" s="1"/>
      <c r="F25" s="5"/>
      <c r="G25" s="5"/>
      <c r="H25" s="1"/>
      <c r="I25" s="5"/>
      <c r="J25" s="5"/>
      <c r="K25" s="3"/>
      <c r="L25" s="5"/>
      <c r="M25" s="5"/>
      <c r="N25" s="5"/>
      <c r="O25" s="5"/>
      <c r="P25" s="5"/>
      <c r="Q25" s="21"/>
      <c r="R25" s="5"/>
      <c r="S25" s="5"/>
      <c r="T25" s="5"/>
      <c r="U25" s="5"/>
      <c r="V25" s="5"/>
      <c r="W25" s="5"/>
      <c r="X25" s="5"/>
      <c r="Y25" s="5"/>
      <c r="Z25" s="21"/>
      <c r="AA25" s="5"/>
      <c r="AB25" s="5"/>
      <c r="AC25" s="21"/>
      <c r="AD25" s="5"/>
      <c r="AE25" s="5"/>
      <c r="AF25" s="1"/>
      <c r="AG25" s="5"/>
      <c r="AH25" s="5"/>
      <c r="AI25" s="21"/>
      <c r="AJ25" s="5"/>
      <c r="AK25" s="5"/>
      <c r="AL25" s="20"/>
      <c r="AM25" s="5"/>
      <c r="AN25" s="5"/>
      <c r="AO25" s="21"/>
      <c r="AP25" s="5"/>
      <c r="AQ25" s="5"/>
      <c r="AR25" s="5"/>
      <c r="AS25" s="5"/>
      <c r="AT25" s="5"/>
      <c r="AU25" s="1"/>
      <c r="AV25" s="5"/>
      <c r="AW25" s="5"/>
      <c r="AX25" s="1"/>
      <c r="AY25" s="5"/>
      <c r="AZ25" s="5"/>
      <c r="BA25" s="1"/>
      <c r="BB25" s="5"/>
      <c r="BC25" s="5"/>
      <c r="BD25" s="1"/>
      <c r="BE25" s="5"/>
      <c r="BF25" s="5"/>
      <c r="BG25" s="20"/>
      <c r="BH25" s="5"/>
      <c r="BI25" s="5"/>
      <c r="BJ25" s="21"/>
      <c r="BK25" s="5"/>
      <c r="BL25" s="29"/>
      <c r="BM25" s="20"/>
      <c r="BN25" s="5"/>
      <c r="BO25" s="5"/>
      <c r="BP25" s="5"/>
      <c r="BQ25" s="5"/>
      <c r="BR25" s="5"/>
      <c r="BS25" s="5"/>
      <c r="BT25" s="5"/>
      <c r="BU25" s="5"/>
      <c r="BV25" s="20"/>
      <c r="BW25" s="5"/>
      <c r="BX25" s="5"/>
      <c r="BY25" s="5"/>
      <c r="BZ25" s="5"/>
      <c r="CA25" s="5"/>
      <c r="CB25" s="20"/>
      <c r="CC25" s="5"/>
      <c r="CD25" s="6">
        <f t="shared" si="20"/>
        <v>0</v>
      </c>
      <c r="CE25" s="18"/>
      <c r="CF25" s="6"/>
      <c r="CG25" s="6">
        <f t="shared" si="21"/>
        <v>0</v>
      </c>
      <c r="CH25" s="19"/>
      <c r="CI25" s="6"/>
      <c r="CJ25" s="6">
        <f t="shared" si="22"/>
        <v>0</v>
      </c>
      <c r="CK25" s="6"/>
      <c r="CL25" s="6"/>
      <c r="CM25" s="6"/>
      <c r="CN25" s="18"/>
      <c r="CO25" s="6"/>
      <c r="CP25" s="31"/>
      <c r="CQ25" s="5"/>
      <c r="CR25" s="5"/>
      <c r="CS25" s="5"/>
      <c r="CT25" s="5"/>
      <c r="CU25" s="5"/>
      <c r="CV25" s="5"/>
      <c r="CW25" s="5"/>
      <c r="CX25" s="5"/>
      <c r="CY25" s="5"/>
      <c r="CZ25" s="20"/>
      <c r="DA25" s="5"/>
      <c r="DB25" s="5"/>
      <c r="DC25" s="1"/>
      <c r="DD25" s="5"/>
      <c r="DE25" s="5"/>
      <c r="DF25" s="21"/>
      <c r="DG25" s="5"/>
      <c r="DH25" s="5"/>
      <c r="DI25" s="21"/>
      <c r="DJ25" s="5"/>
      <c r="DK25" s="5"/>
      <c r="DL25" s="21"/>
      <c r="DM25" s="5"/>
      <c r="DN25" s="5"/>
      <c r="DO25" s="5"/>
      <c r="DP25" s="5"/>
      <c r="DQ25" s="5"/>
      <c r="DR25" s="21"/>
      <c r="DS25" s="5"/>
      <c r="DT25" s="5"/>
      <c r="DU25" s="20"/>
      <c r="DV25" s="5"/>
      <c r="DW25" s="5"/>
      <c r="DX25" s="20"/>
      <c r="DY25" s="5"/>
      <c r="DZ25" s="5"/>
      <c r="EA25" s="21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</row>
    <row r="26" spans="1:148" x14ac:dyDescent="0.35">
      <c r="A26" s="12" t="s">
        <v>18</v>
      </c>
      <c r="B26" s="2">
        <f>SUM(B3:B14)</f>
        <v>9.5</v>
      </c>
      <c r="C26" s="7"/>
      <c r="D26" s="7">
        <f>SUM(D3:D14)</f>
        <v>1377500</v>
      </c>
      <c r="E26" s="2">
        <f>SUM(E3:E14)</f>
        <v>15</v>
      </c>
      <c r="F26" s="7"/>
      <c r="G26" s="7">
        <f>SUM(G3:G14)</f>
        <v>2175000</v>
      </c>
      <c r="H26" s="2">
        <f>SUM(H3:H14)</f>
        <v>33.5</v>
      </c>
      <c r="I26" s="7"/>
      <c r="J26" s="7">
        <f>SUM(J3:J14)</f>
        <v>9428100</v>
      </c>
      <c r="K26" s="4">
        <f>SUM(K3:K14)</f>
        <v>7.5</v>
      </c>
      <c r="L26" s="7"/>
      <c r="M26" s="7">
        <f>SUM(M3:M14)</f>
        <v>1968750</v>
      </c>
      <c r="N26" s="7"/>
      <c r="O26" s="7"/>
      <c r="P26" s="7"/>
      <c r="Q26" s="23"/>
      <c r="R26" s="7"/>
      <c r="S26" s="7"/>
      <c r="T26" s="7"/>
      <c r="U26" s="7"/>
      <c r="V26" s="7"/>
      <c r="W26" s="7"/>
      <c r="X26" s="7"/>
      <c r="Y26" s="7"/>
      <c r="Z26" s="23"/>
      <c r="AA26" s="7"/>
      <c r="AB26" s="7"/>
      <c r="AC26" s="23"/>
      <c r="AD26" s="7"/>
      <c r="AE26" s="7"/>
      <c r="AF26" s="2">
        <f>SUM(AF3:AF14)</f>
        <v>18</v>
      </c>
      <c r="AG26" s="7"/>
      <c r="AH26" s="7">
        <f>SUM(AH3:AH14)</f>
        <v>405900</v>
      </c>
      <c r="AI26" s="23">
        <f>SUM(AI3:AI25)</f>
        <v>79.3</v>
      </c>
      <c r="AJ26" s="7"/>
      <c r="AK26" s="7">
        <f>SUM(AK3:AK25)</f>
        <v>10188000</v>
      </c>
      <c r="AL26" s="22">
        <f>SUM(AL3:AL25)</f>
        <v>8.5</v>
      </c>
      <c r="AM26" s="7"/>
      <c r="AN26" s="7">
        <f>SUM(AN3:AN25)</f>
        <v>2204900</v>
      </c>
      <c r="AO26" s="23">
        <f>SUM(AO3:AO25)</f>
        <v>5.6999999999999993</v>
      </c>
      <c r="AP26" s="7"/>
      <c r="AQ26" s="7">
        <f>SUM(AQ3:AQ25)</f>
        <v>399000</v>
      </c>
      <c r="AR26" s="7"/>
      <c r="AS26" s="7"/>
      <c r="AT26" s="5"/>
      <c r="AU26" s="2">
        <f>SUM(AU3:AU14)</f>
        <v>5.7999999999999989</v>
      </c>
      <c r="AV26" s="7"/>
      <c r="AW26" s="7">
        <f>SUM(AW3:AW14)</f>
        <v>435000</v>
      </c>
      <c r="AX26" s="2">
        <f>SUM(AX3:AX14)</f>
        <v>2.7</v>
      </c>
      <c r="AY26" s="7"/>
      <c r="AZ26" s="7">
        <f>SUM(AZ3:AZ14)</f>
        <v>168750</v>
      </c>
      <c r="BA26" s="2">
        <f>SUM(BA3:BA14)</f>
        <v>33.299999999999997</v>
      </c>
      <c r="BB26" s="7"/>
      <c r="BC26" s="7">
        <f>SUM(BC3:BC14)</f>
        <v>542790</v>
      </c>
      <c r="BD26" s="2">
        <f>SUM(BD3:BD14)</f>
        <v>30</v>
      </c>
      <c r="BE26" s="7"/>
      <c r="BF26" s="7">
        <f>SUM(BF3:BF14)</f>
        <v>1070000</v>
      </c>
      <c r="BG26" s="22">
        <f>SUM(BG3:BG14)</f>
        <v>26.8</v>
      </c>
      <c r="BH26" s="7"/>
      <c r="BI26" s="7">
        <f>SUM(BI3:BI14)</f>
        <v>609250</v>
      </c>
      <c r="BJ26" s="23"/>
      <c r="BK26" s="7"/>
      <c r="BL26" s="29"/>
      <c r="BM26" s="22">
        <f>SUM(BM3:BM14)</f>
        <v>3.6999999999999997</v>
      </c>
      <c r="BN26" s="7"/>
      <c r="BO26" s="7">
        <f>SUM(BO3:BO14)</f>
        <v>162140</v>
      </c>
      <c r="BP26" s="7"/>
      <c r="BQ26" s="7"/>
      <c r="BR26" s="7"/>
      <c r="BS26" s="7"/>
      <c r="BT26" s="7"/>
      <c r="BU26" s="7"/>
      <c r="BV26" s="22"/>
      <c r="BW26" s="7"/>
      <c r="BX26" s="7"/>
      <c r="BY26" s="7"/>
      <c r="BZ26" s="7"/>
      <c r="CA26" s="7"/>
      <c r="CB26" s="22"/>
      <c r="CC26" s="7"/>
      <c r="CD26" s="7"/>
      <c r="CE26" s="22"/>
      <c r="CF26" s="7"/>
      <c r="CG26" s="7"/>
      <c r="CH26" s="23"/>
      <c r="CI26" s="7"/>
      <c r="CJ26" s="7"/>
      <c r="CK26" s="7"/>
      <c r="CL26" s="7"/>
      <c r="CM26" s="7"/>
      <c r="CN26" s="22"/>
      <c r="CO26" s="7"/>
      <c r="CP26" s="32"/>
      <c r="CQ26" s="7"/>
      <c r="CR26" s="7"/>
      <c r="CS26" s="7"/>
      <c r="CT26" s="7"/>
      <c r="CU26" s="7"/>
      <c r="CV26" s="7"/>
      <c r="CW26" s="7"/>
      <c r="CX26" s="7"/>
      <c r="CY26" s="5"/>
      <c r="CZ26" s="22">
        <f>SUM(CZ3:CZ14)</f>
        <v>12.5</v>
      </c>
      <c r="DA26" s="7"/>
      <c r="DB26" s="7">
        <f>SUM(DB3:DB14)</f>
        <v>467000</v>
      </c>
      <c r="DC26" s="2">
        <f>SUM(DC3:DC14)</f>
        <v>4</v>
      </c>
      <c r="DD26" s="7"/>
      <c r="DE26" s="7">
        <f>SUM(DE3:DE14)</f>
        <v>119200</v>
      </c>
      <c r="DF26" s="23">
        <f>SUM(DF3:DF25)</f>
        <v>1.5</v>
      </c>
      <c r="DG26" s="7"/>
      <c r="DH26" s="7"/>
      <c r="DI26" s="23">
        <f>SUM(DI3:DI25)</f>
        <v>0.44999999999999996</v>
      </c>
      <c r="DJ26" s="7"/>
      <c r="DK26" s="7">
        <f>SUM(DK3:DK25)</f>
        <v>51255</v>
      </c>
      <c r="DL26" s="23"/>
      <c r="DM26" s="7"/>
      <c r="DN26" s="7"/>
      <c r="DO26" s="7"/>
      <c r="DP26" s="7"/>
      <c r="DQ26" s="7"/>
      <c r="DR26" s="23">
        <f>SUM(DR3:DR25)</f>
        <v>1.85</v>
      </c>
      <c r="DS26" s="7"/>
      <c r="DT26" s="7">
        <f>SUM(DT3:DT25)</f>
        <v>107855</v>
      </c>
      <c r="DU26" s="22"/>
      <c r="DV26" s="7"/>
      <c r="DW26" s="7"/>
      <c r="DX26" s="22"/>
      <c r="DY26" s="7"/>
      <c r="DZ26" s="7"/>
      <c r="EA26" s="23"/>
      <c r="EB26" s="7"/>
      <c r="EC26" s="7"/>
      <c r="ED26" s="7">
        <f>SUM(ED3:ED25)</f>
        <v>40</v>
      </c>
      <c r="EE26" s="7"/>
      <c r="EF26" s="7">
        <f>SUM(EF3:EF25)</f>
        <v>1948000</v>
      </c>
      <c r="EG26" s="7">
        <f>SUM(EG3:EG25)</f>
        <v>15</v>
      </c>
      <c r="EH26" s="7"/>
      <c r="EI26" s="7">
        <f>SUM(EI3:EI25)</f>
        <v>66000</v>
      </c>
      <c r="EJ26" s="7">
        <f>SUM(EJ3:EJ25)</f>
        <v>5</v>
      </c>
      <c r="EK26" s="7"/>
      <c r="EL26" s="7">
        <f>SUM(EL3:EL25)</f>
        <v>190000</v>
      </c>
      <c r="EM26" s="7">
        <f>SUM(EM3:EM25)</f>
        <v>6</v>
      </c>
      <c r="EN26" s="7"/>
      <c r="EO26" s="7">
        <f>SUM(EO3:EO25)</f>
        <v>351000</v>
      </c>
      <c r="EP26" s="7">
        <f>SUM(EP3:EP25)</f>
        <v>850</v>
      </c>
      <c r="EQ26" s="7"/>
      <c r="ER26" s="7">
        <f>SUM(ER3:ER25)</f>
        <v>15535000</v>
      </c>
    </row>
  </sheetData>
  <mergeCells count="49">
    <mergeCell ref="Q1:S1"/>
    <mergeCell ref="B1:D1"/>
    <mergeCell ref="E1:G1"/>
    <mergeCell ref="H1:J1"/>
    <mergeCell ref="K1:M1"/>
    <mergeCell ref="N1:P1"/>
    <mergeCell ref="BA1:BC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CK1:CM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DU1:DW1"/>
    <mergeCell ref="CN1:CP1"/>
    <mergeCell ref="CQ1:CS1"/>
    <mergeCell ref="CT1:CV1"/>
    <mergeCell ref="CW1:CY1"/>
    <mergeCell ref="CZ1:DB1"/>
    <mergeCell ref="DC1:DE1"/>
    <mergeCell ref="DF1:DH1"/>
    <mergeCell ref="DI1:DK1"/>
    <mergeCell ref="DL1:DN1"/>
    <mergeCell ref="DO1:DQ1"/>
    <mergeCell ref="DR1:DT1"/>
    <mergeCell ref="EP1:ER1"/>
    <mergeCell ref="DX1:DZ1"/>
    <mergeCell ref="EA1:EC1"/>
    <mergeCell ref="ED1:EF1"/>
    <mergeCell ref="EG1:EI1"/>
    <mergeCell ref="EJ1:EL1"/>
    <mergeCell ref="EM1:E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8A09-1A3D-40C3-A392-3680B279EAC5}">
  <dimension ref="A1:B3"/>
  <sheetViews>
    <sheetView workbookViewId="0">
      <selection activeCell="A3" sqref="A3"/>
    </sheetView>
  </sheetViews>
  <sheetFormatPr defaultRowHeight="14.5" x14ac:dyDescent="0.35"/>
  <cols>
    <col min="1" max="1" width="12.08984375" style="44" customWidth="1"/>
    <col min="2" max="2" width="52.08984375" style="68" customWidth="1"/>
    <col min="3" max="16384" width="8.7265625" style="44"/>
  </cols>
  <sheetData>
    <row r="1" spans="1:2" ht="29" x14ac:dyDescent="0.35">
      <c r="A1" s="44" t="s">
        <v>83</v>
      </c>
      <c r="B1" s="68" t="s">
        <v>84</v>
      </c>
    </row>
    <row r="2" spans="1:2" ht="43.5" x14ac:dyDescent="0.35">
      <c r="A2" s="44" t="s">
        <v>85</v>
      </c>
      <c r="B2" s="68" t="s">
        <v>88</v>
      </c>
    </row>
    <row r="3" spans="1:2" ht="29" x14ac:dyDescent="0.35">
      <c r="A3" s="44" t="s">
        <v>86</v>
      </c>
      <c r="B3" s="68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6A4A-8150-4E67-B967-48AD7FACD1F1}">
  <dimension ref="A1:H40"/>
  <sheetViews>
    <sheetView workbookViewId="0">
      <pane ySplit="2" topLeftCell="A30" activePane="bottomLeft" state="frozen"/>
      <selection pane="bottomLeft" activeCell="B41" sqref="B41"/>
    </sheetView>
  </sheetViews>
  <sheetFormatPr defaultRowHeight="15.5" x14ac:dyDescent="0.35"/>
  <cols>
    <col min="1" max="1" width="15.6328125" style="45" customWidth="1"/>
    <col min="2" max="4" width="10.36328125" style="47" customWidth="1"/>
    <col min="5" max="5" width="22.81640625" style="46" customWidth="1"/>
    <col min="6" max="6" width="15.6328125" style="48" customWidth="1"/>
    <col min="7" max="7" width="15.6328125" style="47" customWidth="1"/>
    <col min="8" max="8" width="15.6328125" style="46" customWidth="1"/>
    <col min="9" max="9" width="10.1796875" style="46" customWidth="1"/>
    <col min="10" max="16384" width="8.7265625" style="46"/>
  </cols>
  <sheetData>
    <row r="1" spans="1:8" s="44" customFormat="1" ht="28.5" customHeight="1" x14ac:dyDescent="0.35">
      <c r="A1" s="100" t="s">
        <v>12</v>
      </c>
      <c r="B1" s="100"/>
      <c r="C1" s="100"/>
      <c r="D1" s="100"/>
      <c r="E1" s="100"/>
      <c r="F1" s="100"/>
      <c r="G1" s="100"/>
      <c r="H1" s="100"/>
    </row>
    <row r="2" spans="1:8" ht="26" customHeight="1" x14ac:dyDescent="0.35">
      <c r="A2" s="50" t="s">
        <v>75</v>
      </c>
      <c r="B2" s="51" t="s">
        <v>72</v>
      </c>
      <c r="C2" s="51" t="s">
        <v>73</v>
      </c>
      <c r="D2" s="51" t="s">
        <v>74</v>
      </c>
      <c r="E2" s="52" t="s">
        <v>76</v>
      </c>
      <c r="F2" s="53" t="s">
        <v>77</v>
      </c>
      <c r="G2" s="51" t="s">
        <v>30</v>
      </c>
      <c r="H2" s="72" t="s">
        <v>78</v>
      </c>
    </row>
    <row r="3" spans="1:8" x14ac:dyDescent="0.35">
      <c r="A3" s="54">
        <f>DATE(D3,C3,B3)</f>
        <v>45931</v>
      </c>
      <c r="B3" s="55">
        <v>1</v>
      </c>
      <c r="C3" s="55">
        <v>10</v>
      </c>
      <c r="D3" s="55">
        <v>2025</v>
      </c>
      <c r="E3" s="56" t="s">
        <v>1</v>
      </c>
      <c r="F3" s="57">
        <v>145000</v>
      </c>
      <c r="G3" s="55">
        <v>9.5</v>
      </c>
      <c r="H3" s="58">
        <f>Table2[[#This Row],[SL]]*Table2[[#This Row],[Đơn giá]]</f>
        <v>1377500</v>
      </c>
    </row>
    <row r="4" spans="1:8" x14ac:dyDescent="0.35">
      <c r="A4" s="54">
        <f>DATE(D4,C4,B4)</f>
        <v>45931</v>
      </c>
      <c r="B4" s="55">
        <v>1</v>
      </c>
      <c r="C4" s="55">
        <v>10</v>
      </c>
      <c r="D4" s="55">
        <v>2025</v>
      </c>
      <c r="E4" s="56" t="s">
        <v>7</v>
      </c>
      <c r="F4" s="57">
        <v>145000</v>
      </c>
      <c r="G4" s="55">
        <v>4</v>
      </c>
      <c r="H4" s="58">
        <f>Table2[[#This Row],[SL]]*Table2[[#This Row],[Đơn giá]]</f>
        <v>580000</v>
      </c>
    </row>
    <row r="5" spans="1:8" x14ac:dyDescent="0.35">
      <c r="A5" s="59">
        <f>DATE(D5,C5,B5)</f>
        <v>45940</v>
      </c>
      <c r="B5" s="60">
        <v>10</v>
      </c>
      <c r="C5" s="60">
        <v>10</v>
      </c>
      <c r="D5" s="60">
        <v>2025</v>
      </c>
      <c r="E5" s="61" t="s">
        <v>7</v>
      </c>
      <c r="F5" s="62">
        <v>145000</v>
      </c>
      <c r="G5" s="49">
        <v>11</v>
      </c>
      <c r="H5" s="63">
        <f>Table2[[#This Row],[SL]]*Table2[[#This Row],[Đơn giá]]</f>
        <v>1595000</v>
      </c>
    </row>
    <row r="6" spans="1:8" x14ac:dyDescent="0.35">
      <c r="A6" s="59">
        <f>DATE(D6,C6,B6)</f>
        <v>45931</v>
      </c>
      <c r="B6" s="60">
        <v>1</v>
      </c>
      <c r="C6" s="60">
        <v>10</v>
      </c>
      <c r="D6" s="60">
        <v>2025</v>
      </c>
      <c r="E6" s="61" t="s">
        <v>3</v>
      </c>
      <c r="F6" s="62">
        <v>281300</v>
      </c>
      <c r="G6" s="60">
        <v>5.3</v>
      </c>
      <c r="H6" s="63">
        <f>Table2[[#This Row],[SL]]*Table2[[#This Row],[Đơn giá]]</f>
        <v>1490890</v>
      </c>
    </row>
    <row r="7" spans="1:8" x14ac:dyDescent="0.35">
      <c r="A7" s="54">
        <f t="shared" ref="A7:A8" si="0">DATE(D7,C7,B7)</f>
        <v>45933</v>
      </c>
      <c r="B7" s="55">
        <v>3</v>
      </c>
      <c r="C7" s="60">
        <v>10</v>
      </c>
      <c r="D7" s="60">
        <v>2025</v>
      </c>
      <c r="E7" s="61" t="s">
        <v>3</v>
      </c>
      <c r="F7" s="57">
        <v>281300</v>
      </c>
      <c r="G7" s="55">
        <v>7.3</v>
      </c>
      <c r="H7" s="58">
        <f>Table2[[#This Row],[SL]]*Table2[[#This Row],[Đơn giá]]</f>
        <v>2053490</v>
      </c>
    </row>
    <row r="8" spans="1:8" x14ac:dyDescent="0.35">
      <c r="A8" s="59">
        <f t="shared" si="0"/>
        <v>45936</v>
      </c>
      <c r="B8" s="60">
        <v>6</v>
      </c>
      <c r="C8" s="60">
        <v>10</v>
      </c>
      <c r="D8" s="60">
        <v>2025</v>
      </c>
      <c r="E8" s="61" t="s">
        <v>3</v>
      </c>
      <c r="F8" s="57">
        <v>281300</v>
      </c>
      <c r="G8" s="60">
        <v>7.5</v>
      </c>
      <c r="H8" s="63">
        <f>Table2[[#This Row],[SL]]*Table2[[#This Row],[Đơn giá]]</f>
        <v>2109750</v>
      </c>
    </row>
    <row r="9" spans="1:8" x14ac:dyDescent="0.35">
      <c r="A9" s="54">
        <f t="shared" ref="A9:A10" si="1">DATE(D9,C9,B9)</f>
        <v>45938</v>
      </c>
      <c r="B9" s="55">
        <v>8</v>
      </c>
      <c r="C9" s="60">
        <v>10</v>
      </c>
      <c r="D9" s="60">
        <v>2025</v>
      </c>
      <c r="E9" s="61" t="s">
        <v>3</v>
      </c>
      <c r="F9" s="57">
        <v>281300</v>
      </c>
      <c r="G9" s="55">
        <v>4.7</v>
      </c>
      <c r="H9" s="58">
        <f>Table2[[#This Row],[SL]]*Table2[[#This Row],[Đơn giá]]</f>
        <v>1322110</v>
      </c>
    </row>
    <row r="10" spans="1:8" x14ac:dyDescent="0.35">
      <c r="A10" s="59">
        <f t="shared" si="1"/>
        <v>45939</v>
      </c>
      <c r="B10" s="60">
        <v>9</v>
      </c>
      <c r="C10" s="60">
        <v>10</v>
      </c>
      <c r="D10" s="60">
        <v>2025</v>
      </c>
      <c r="E10" s="61" t="s">
        <v>3</v>
      </c>
      <c r="F10" s="57">
        <v>281300</v>
      </c>
      <c r="G10" s="60">
        <v>2.2000000000000002</v>
      </c>
      <c r="H10" s="63">
        <f>Table2[[#This Row],[SL]]*Table2[[#This Row],[Đơn giá]]</f>
        <v>618860</v>
      </c>
    </row>
    <row r="11" spans="1:8" x14ac:dyDescent="0.35">
      <c r="A11" s="59">
        <f t="shared" ref="A11:A25" si="2">DATE(D11,C11,B11)</f>
        <v>45943</v>
      </c>
      <c r="B11" s="60">
        <v>13</v>
      </c>
      <c r="C11" s="60">
        <v>10</v>
      </c>
      <c r="D11" s="60">
        <v>2025</v>
      </c>
      <c r="E11" s="61" t="s">
        <v>3</v>
      </c>
      <c r="F11" s="62">
        <v>282000</v>
      </c>
      <c r="G11" s="60">
        <v>6.5</v>
      </c>
      <c r="H11" s="63">
        <f>Table2[[#This Row],[SL]]*Table2[[#This Row],[Đơn giá]]</f>
        <v>1833000</v>
      </c>
    </row>
    <row r="12" spans="1:8" x14ac:dyDescent="0.35">
      <c r="A12" s="59">
        <f t="shared" si="2"/>
        <v>45931</v>
      </c>
      <c r="B12" s="60">
        <v>1</v>
      </c>
      <c r="C12" s="60">
        <v>10</v>
      </c>
      <c r="D12" s="60">
        <v>2025</v>
      </c>
      <c r="E12" s="61" t="s">
        <v>5</v>
      </c>
      <c r="F12" s="62">
        <v>262500</v>
      </c>
      <c r="G12" s="60">
        <v>2</v>
      </c>
      <c r="H12" s="63">
        <f>Table2[[#This Row],[SL]]*Table2[[#This Row],[Đơn giá]]</f>
        <v>525000</v>
      </c>
    </row>
    <row r="13" spans="1:8" x14ac:dyDescent="0.35">
      <c r="A13" s="59">
        <f t="shared" si="2"/>
        <v>45933</v>
      </c>
      <c r="B13" s="60">
        <v>3</v>
      </c>
      <c r="C13" s="60">
        <v>10</v>
      </c>
      <c r="D13" s="60">
        <v>2025</v>
      </c>
      <c r="E13" s="61" t="s">
        <v>5</v>
      </c>
      <c r="F13" s="62">
        <v>262500</v>
      </c>
      <c r="G13" s="60">
        <v>1</v>
      </c>
      <c r="H13" s="63">
        <f>Table2[[#This Row],[SL]]*Table2[[#This Row],[Đơn giá]]</f>
        <v>262500</v>
      </c>
    </row>
    <row r="14" spans="1:8" x14ac:dyDescent="0.35">
      <c r="A14" s="59">
        <f t="shared" si="2"/>
        <v>45937</v>
      </c>
      <c r="B14" s="60">
        <v>7</v>
      </c>
      <c r="C14" s="60">
        <v>10</v>
      </c>
      <c r="D14" s="60">
        <v>2025</v>
      </c>
      <c r="E14" s="61" t="s">
        <v>5</v>
      </c>
      <c r="F14" s="62">
        <v>262500</v>
      </c>
      <c r="G14" s="60">
        <v>4.5</v>
      </c>
      <c r="H14" s="63">
        <f>Table2[[#This Row],[SL]]*Table2[[#This Row],[Đơn giá]]</f>
        <v>1181250</v>
      </c>
    </row>
    <row r="15" spans="1:8" x14ac:dyDescent="0.35">
      <c r="A15" s="59">
        <f t="shared" si="2"/>
        <v>45938</v>
      </c>
      <c r="B15" s="60">
        <v>8</v>
      </c>
      <c r="C15" s="60">
        <v>10</v>
      </c>
      <c r="D15" s="60">
        <v>2025</v>
      </c>
      <c r="E15" s="61" t="s">
        <v>61</v>
      </c>
      <c r="F15" s="62">
        <v>272000</v>
      </c>
      <c r="G15" s="60">
        <v>1</v>
      </c>
      <c r="H15" s="63">
        <f>Table2[[#This Row],[SL]]*Table2[[#This Row],[Đơn giá]]</f>
        <v>272000</v>
      </c>
    </row>
    <row r="16" spans="1:8" x14ac:dyDescent="0.35">
      <c r="A16" s="59">
        <f t="shared" si="2"/>
        <v>45938</v>
      </c>
      <c r="B16" s="60">
        <v>8</v>
      </c>
      <c r="C16" s="60">
        <v>10</v>
      </c>
      <c r="D16" s="60">
        <v>2025</v>
      </c>
      <c r="E16" s="61" t="s">
        <v>62</v>
      </c>
      <c r="F16" s="62">
        <v>152500</v>
      </c>
      <c r="G16" s="60">
        <v>5</v>
      </c>
      <c r="H16" s="63">
        <f>Table2[[#This Row],[SL]]*Table2[[#This Row],[Đơn giá]]</f>
        <v>762500</v>
      </c>
    </row>
    <row r="17" spans="1:8" x14ac:dyDescent="0.35">
      <c r="A17" s="59">
        <f t="shared" si="2"/>
        <v>45940</v>
      </c>
      <c r="B17" s="60">
        <v>10</v>
      </c>
      <c r="C17" s="60">
        <v>10</v>
      </c>
      <c r="D17" s="60">
        <v>2025</v>
      </c>
      <c r="E17" s="61" t="s">
        <v>62</v>
      </c>
      <c r="F17" s="62">
        <v>152500</v>
      </c>
      <c r="G17" s="60">
        <v>5.7</v>
      </c>
      <c r="H17" s="63">
        <f>Table2[[#This Row],[SL]]*Table2[[#This Row],[Đơn giá]]</f>
        <v>869250</v>
      </c>
    </row>
    <row r="18" spans="1:8" x14ac:dyDescent="0.35">
      <c r="A18" s="59">
        <f t="shared" si="2"/>
        <v>45943</v>
      </c>
      <c r="B18" s="60">
        <v>13</v>
      </c>
      <c r="C18" s="60">
        <v>10</v>
      </c>
      <c r="D18" s="60">
        <v>2025</v>
      </c>
      <c r="E18" s="61" t="s">
        <v>70</v>
      </c>
      <c r="F18" s="62">
        <v>67000</v>
      </c>
      <c r="G18" s="60">
        <v>3</v>
      </c>
      <c r="H18" s="63">
        <f>Table2[[#This Row],[SL]]*Table2[[#This Row],[Đơn giá]]</f>
        <v>201000</v>
      </c>
    </row>
    <row r="19" spans="1:8" x14ac:dyDescent="0.35">
      <c r="A19" s="54">
        <f t="shared" si="2"/>
        <v>45943</v>
      </c>
      <c r="B19" s="55">
        <v>13</v>
      </c>
      <c r="C19" s="55">
        <v>10</v>
      </c>
      <c r="D19" s="55">
        <v>2025</v>
      </c>
      <c r="E19" s="56" t="s">
        <v>71</v>
      </c>
      <c r="F19" s="57">
        <v>142000</v>
      </c>
      <c r="G19" s="55">
        <v>2.2000000000000002</v>
      </c>
      <c r="H19" s="58">
        <f>Table2[[#This Row],[SL]]*Table2[[#This Row],[Đơn giá]]</f>
        <v>312400</v>
      </c>
    </row>
    <row r="20" spans="1:8" x14ac:dyDescent="0.35">
      <c r="A20" s="59">
        <f t="shared" si="2"/>
        <v>45936</v>
      </c>
      <c r="B20" s="60">
        <v>6</v>
      </c>
      <c r="C20" s="55">
        <v>10</v>
      </c>
      <c r="D20" s="55">
        <v>2025</v>
      </c>
      <c r="E20" s="61" t="s">
        <v>56</v>
      </c>
      <c r="F20" s="62">
        <v>181300</v>
      </c>
      <c r="G20" s="60">
        <v>2.2000000000000002</v>
      </c>
      <c r="H20" s="63">
        <f>Table2[[#This Row],[SL]]*Table2[[#This Row],[Đơn giá]]</f>
        <v>398860.00000000006</v>
      </c>
    </row>
    <row r="21" spans="1:8" x14ac:dyDescent="0.35">
      <c r="A21" s="59">
        <f t="shared" si="2"/>
        <v>45937</v>
      </c>
      <c r="B21" s="60">
        <v>7</v>
      </c>
      <c r="C21" s="55">
        <v>10</v>
      </c>
      <c r="D21" s="55">
        <v>2025</v>
      </c>
      <c r="E21" s="61" t="s">
        <v>56</v>
      </c>
      <c r="F21" s="62">
        <v>181300</v>
      </c>
      <c r="G21" s="60">
        <v>2</v>
      </c>
      <c r="H21" s="63">
        <f>Table2[[#This Row],[SL]]*Table2[[#This Row],[Đơn giá]]</f>
        <v>362600</v>
      </c>
    </row>
    <row r="22" spans="1:8" x14ac:dyDescent="0.35">
      <c r="A22" s="59">
        <f t="shared" si="2"/>
        <v>45943</v>
      </c>
      <c r="B22" s="60">
        <v>13</v>
      </c>
      <c r="C22" s="55">
        <v>10</v>
      </c>
      <c r="D22" s="55">
        <v>2025</v>
      </c>
      <c r="E22" s="61" t="s">
        <v>56</v>
      </c>
      <c r="F22" s="62">
        <v>182000</v>
      </c>
      <c r="G22" s="60">
        <v>2</v>
      </c>
      <c r="H22" s="63">
        <f>Table2[[#This Row],[SL]]*Table2[[#This Row],[Đơn giá]]</f>
        <v>364000</v>
      </c>
    </row>
    <row r="23" spans="1:8" x14ac:dyDescent="0.35">
      <c r="A23" s="59">
        <f t="shared" si="2"/>
        <v>45936</v>
      </c>
      <c r="B23" s="60">
        <v>6</v>
      </c>
      <c r="C23" s="55">
        <v>10</v>
      </c>
      <c r="D23" s="55">
        <v>2025</v>
      </c>
      <c r="E23" s="61" t="s">
        <v>57</v>
      </c>
      <c r="F23" s="62">
        <v>218800</v>
      </c>
      <c r="G23" s="60">
        <v>2.7</v>
      </c>
      <c r="H23" s="63">
        <f>Table2[[#This Row],[SL]]*Table2[[#This Row],[Đơn giá]]</f>
        <v>590760</v>
      </c>
    </row>
    <row r="24" spans="1:8" x14ac:dyDescent="0.35">
      <c r="A24" s="59">
        <f t="shared" si="2"/>
        <v>45931</v>
      </c>
      <c r="B24" s="60">
        <v>1</v>
      </c>
      <c r="C24" s="55">
        <v>10</v>
      </c>
      <c r="D24" s="55">
        <v>2025</v>
      </c>
      <c r="E24" s="61" t="s">
        <v>33</v>
      </c>
      <c r="F24" s="62">
        <v>21300</v>
      </c>
      <c r="G24" s="60">
        <v>9</v>
      </c>
      <c r="H24" s="63">
        <f>Table2[[#This Row],[SL]]*Table2[[#This Row],[Đơn giá]]</f>
        <v>191700</v>
      </c>
    </row>
    <row r="25" spans="1:8" x14ac:dyDescent="0.35">
      <c r="A25" s="59">
        <f t="shared" si="2"/>
        <v>45939</v>
      </c>
      <c r="B25" s="60">
        <v>9</v>
      </c>
      <c r="C25" s="55">
        <v>10</v>
      </c>
      <c r="D25" s="55">
        <v>2025</v>
      </c>
      <c r="E25" s="61" t="s">
        <v>33</v>
      </c>
      <c r="F25" s="62">
        <v>23800</v>
      </c>
      <c r="G25" s="60">
        <v>9</v>
      </c>
      <c r="H25" s="63">
        <f>Table2[[#This Row],[SL]]*Table2[[#This Row],[Đơn giá]]</f>
        <v>214200</v>
      </c>
    </row>
    <row r="26" spans="1:8" x14ac:dyDescent="0.35">
      <c r="A26" s="54">
        <f t="shared" ref="A26:A33" si="3">DATE(D26,C26,B26)</f>
        <v>45932</v>
      </c>
      <c r="B26" s="55">
        <v>2</v>
      </c>
      <c r="C26" s="55">
        <v>10</v>
      </c>
      <c r="D26" s="55">
        <v>2025</v>
      </c>
      <c r="E26" s="56" t="s">
        <v>36</v>
      </c>
      <c r="F26" s="57">
        <v>128800</v>
      </c>
      <c r="G26" s="55">
        <v>13.5</v>
      </c>
      <c r="H26" s="58">
        <f>Table2[[#This Row],[SL]]*Table2[[#This Row],[Đơn giá]]</f>
        <v>1738800</v>
      </c>
    </row>
    <row r="27" spans="1:8" x14ac:dyDescent="0.35">
      <c r="A27" s="54">
        <f t="shared" si="3"/>
        <v>45933</v>
      </c>
      <c r="B27" s="55">
        <v>3</v>
      </c>
      <c r="C27" s="55">
        <v>10</v>
      </c>
      <c r="D27" s="55">
        <v>2025</v>
      </c>
      <c r="E27" s="56" t="s">
        <v>36</v>
      </c>
      <c r="F27" s="57">
        <v>128800</v>
      </c>
      <c r="G27" s="55">
        <v>8</v>
      </c>
      <c r="H27" s="58">
        <f>Table2[[#This Row],[SL]]*Table2[[#This Row],[Đơn giá]]</f>
        <v>1030400</v>
      </c>
    </row>
    <row r="28" spans="1:8" x14ac:dyDescent="0.35">
      <c r="A28" s="54">
        <f t="shared" si="3"/>
        <v>45936</v>
      </c>
      <c r="B28" s="55">
        <v>6</v>
      </c>
      <c r="C28" s="55">
        <v>10</v>
      </c>
      <c r="D28" s="55">
        <v>2025</v>
      </c>
      <c r="E28" s="56" t="s">
        <v>36</v>
      </c>
      <c r="F28" s="57">
        <v>128800</v>
      </c>
      <c r="G28" s="55">
        <v>8</v>
      </c>
      <c r="H28" s="58">
        <f>Table2[[#This Row],[SL]]*Table2[[#This Row],[Đơn giá]]</f>
        <v>1030400</v>
      </c>
    </row>
    <row r="29" spans="1:8" x14ac:dyDescent="0.35">
      <c r="A29" s="54">
        <f t="shared" si="3"/>
        <v>45937</v>
      </c>
      <c r="B29" s="55">
        <v>7</v>
      </c>
      <c r="C29" s="55">
        <v>10</v>
      </c>
      <c r="D29" s="55">
        <v>2025</v>
      </c>
      <c r="E29" s="56" t="s">
        <v>36</v>
      </c>
      <c r="F29" s="57">
        <v>128800</v>
      </c>
      <c r="G29" s="55">
        <v>12.5</v>
      </c>
      <c r="H29" s="58">
        <f>Table2[[#This Row],[SL]]*Table2[[#This Row],[Đơn giá]]</f>
        <v>1610000</v>
      </c>
    </row>
    <row r="30" spans="1:8" x14ac:dyDescent="0.35">
      <c r="A30" s="54">
        <f t="shared" si="3"/>
        <v>45938</v>
      </c>
      <c r="B30" s="55">
        <v>8</v>
      </c>
      <c r="C30" s="55">
        <v>10</v>
      </c>
      <c r="D30" s="55">
        <v>2025</v>
      </c>
      <c r="E30" s="56" t="s">
        <v>36</v>
      </c>
      <c r="F30" s="57">
        <v>128800</v>
      </c>
      <c r="G30" s="55">
        <v>12</v>
      </c>
      <c r="H30" s="58">
        <f>Table2[[#This Row],[SL]]*Table2[[#This Row],[Đơn giá]]</f>
        <v>1545600</v>
      </c>
    </row>
    <row r="31" spans="1:8" x14ac:dyDescent="0.35">
      <c r="A31" s="54">
        <f t="shared" si="3"/>
        <v>45939</v>
      </c>
      <c r="B31" s="55">
        <v>9</v>
      </c>
      <c r="C31" s="55">
        <v>10</v>
      </c>
      <c r="D31" s="55">
        <v>2025</v>
      </c>
      <c r="E31" s="56" t="s">
        <v>36</v>
      </c>
      <c r="F31" s="57">
        <v>128800</v>
      </c>
      <c r="G31" s="55">
        <v>12.5</v>
      </c>
      <c r="H31" s="58">
        <f>Table2[[#This Row],[SL]]*Table2[[#This Row],[Đơn giá]]</f>
        <v>1610000</v>
      </c>
    </row>
    <row r="32" spans="1:8" x14ac:dyDescent="0.35">
      <c r="A32" s="54">
        <f t="shared" si="3"/>
        <v>45940</v>
      </c>
      <c r="B32" s="55">
        <v>10</v>
      </c>
      <c r="C32" s="55">
        <v>10</v>
      </c>
      <c r="D32" s="55">
        <v>2025</v>
      </c>
      <c r="E32" s="56" t="s">
        <v>36</v>
      </c>
      <c r="F32" s="57">
        <v>128800</v>
      </c>
      <c r="G32" s="55">
        <v>6</v>
      </c>
      <c r="H32" s="58">
        <f>Table2[[#This Row],[SL]]*Table2[[#This Row],[Đơn giá]]</f>
        <v>772800</v>
      </c>
    </row>
    <row r="33" spans="1:8" x14ac:dyDescent="0.35">
      <c r="A33" s="59">
        <f t="shared" si="3"/>
        <v>45943</v>
      </c>
      <c r="B33" s="60">
        <v>13</v>
      </c>
      <c r="C33" s="55">
        <v>10</v>
      </c>
      <c r="D33" s="55">
        <v>2025</v>
      </c>
      <c r="E33" s="56" t="s">
        <v>36</v>
      </c>
      <c r="F33" s="62">
        <v>125000</v>
      </c>
      <c r="G33" s="60">
        <v>6.8</v>
      </c>
      <c r="H33" s="63">
        <f>Table2[[#This Row],[SL]]*Table2[[#This Row],[Đơn giá]]</f>
        <v>850000</v>
      </c>
    </row>
    <row r="34" spans="1:8" x14ac:dyDescent="0.35">
      <c r="A34" s="59">
        <f>DATE(D34,C34,B34)</f>
        <v>45932</v>
      </c>
      <c r="B34" s="60">
        <v>2</v>
      </c>
      <c r="C34" s="55">
        <v>10</v>
      </c>
      <c r="D34" s="55">
        <v>2025</v>
      </c>
      <c r="E34" s="61" t="s">
        <v>65</v>
      </c>
      <c r="F34" s="62">
        <v>259400</v>
      </c>
      <c r="G34" s="60">
        <v>4.5</v>
      </c>
      <c r="H34" s="63">
        <f>Table2[[#This Row],[SL]]*Table2[[#This Row],[Đơn giá]]</f>
        <v>1167300</v>
      </c>
    </row>
    <row r="35" spans="1:8" x14ac:dyDescent="0.35">
      <c r="A35" s="59">
        <f>DATE(D35,C35,B35)</f>
        <v>45939</v>
      </c>
      <c r="B35" s="60">
        <v>9</v>
      </c>
      <c r="C35" s="55">
        <v>10</v>
      </c>
      <c r="D35" s="55">
        <v>2025</v>
      </c>
      <c r="E35" s="61" t="s">
        <v>65</v>
      </c>
      <c r="F35" s="62">
        <v>259400</v>
      </c>
      <c r="G35" s="60">
        <v>4</v>
      </c>
      <c r="H35" s="63">
        <f>Table2[[#This Row],[SL]]*Table2[[#This Row],[Đơn giá]]</f>
        <v>1037600</v>
      </c>
    </row>
    <row r="36" spans="1:8" x14ac:dyDescent="0.35">
      <c r="A36" s="59">
        <f>DATE(D36,C36,B36)</f>
        <v>45932</v>
      </c>
      <c r="B36" s="60">
        <v>2</v>
      </c>
      <c r="C36" s="55">
        <v>10</v>
      </c>
      <c r="D36" s="55">
        <v>2025</v>
      </c>
      <c r="E36" s="61" t="s">
        <v>37</v>
      </c>
      <c r="F36" s="62">
        <v>70000</v>
      </c>
      <c r="G36" s="60">
        <v>0.5</v>
      </c>
      <c r="H36" s="63">
        <f>Table2[[#This Row],[SL]]*Table2[[#This Row],[Đơn giá]]</f>
        <v>35000</v>
      </c>
    </row>
    <row r="37" spans="1:8" x14ac:dyDescent="0.35">
      <c r="A37" s="59">
        <f>DATE(D37,C37,B37)</f>
        <v>45939</v>
      </c>
      <c r="B37" s="60">
        <v>9</v>
      </c>
      <c r="C37" s="55">
        <v>10</v>
      </c>
      <c r="D37" s="55">
        <v>2025</v>
      </c>
      <c r="E37" s="61" t="s">
        <v>37</v>
      </c>
      <c r="F37" s="62">
        <v>70000</v>
      </c>
      <c r="G37" s="60">
        <v>2.4</v>
      </c>
      <c r="H37" s="63">
        <f>Table2[[#This Row],[SL]]*Table2[[#This Row],[Đơn giá]]</f>
        <v>168000</v>
      </c>
    </row>
    <row r="38" spans="1:8" x14ac:dyDescent="0.35">
      <c r="A38" s="59">
        <f>DATE(D38,C38,B38)</f>
        <v>45940</v>
      </c>
      <c r="B38" s="60">
        <v>10</v>
      </c>
      <c r="C38" s="55">
        <v>10</v>
      </c>
      <c r="D38" s="55">
        <v>2025</v>
      </c>
      <c r="E38" s="61" t="s">
        <v>37</v>
      </c>
      <c r="F38" s="62">
        <v>70000</v>
      </c>
      <c r="G38" s="60">
        <v>2.8</v>
      </c>
      <c r="H38" s="63">
        <f>Table2[[#This Row],[SL]]*Table2[[#This Row],[Đơn giá]]</f>
        <v>196000</v>
      </c>
    </row>
    <row r="39" spans="1:8" x14ac:dyDescent="0.35">
      <c r="A39" s="54">
        <f t="shared" ref="A39:A40" si="4">DATE(D39,C39,B39)</f>
        <v>45939</v>
      </c>
      <c r="B39" s="55">
        <v>9</v>
      </c>
      <c r="C39" s="55">
        <v>10</v>
      </c>
      <c r="D39" s="55">
        <v>2025</v>
      </c>
      <c r="E39" s="56" t="s">
        <v>66</v>
      </c>
      <c r="F39" s="57">
        <v>200000</v>
      </c>
      <c r="G39" s="55">
        <v>0.4</v>
      </c>
      <c r="H39" s="58">
        <f>Table2[[#This Row],[SL]]*Table2[[#This Row],[Đơn giá]]</f>
        <v>80000</v>
      </c>
    </row>
    <row r="40" spans="1:8" x14ac:dyDescent="0.35">
      <c r="A40" s="59">
        <f t="shared" si="4"/>
        <v>45940</v>
      </c>
      <c r="B40" s="60">
        <v>10</v>
      </c>
      <c r="C40" s="55">
        <v>10</v>
      </c>
      <c r="D40" s="55">
        <v>2025</v>
      </c>
      <c r="E40" s="56" t="s">
        <v>66</v>
      </c>
      <c r="F40" s="62">
        <v>200000</v>
      </c>
      <c r="G40" s="60">
        <v>2.1</v>
      </c>
      <c r="H40" s="63">
        <f>Table2[[#This Row],[SL]]*Table2[[#This Row],[Đơn giá]]</f>
        <v>420000</v>
      </c>
    </row>
  </sheetData>
  <mergeCells count="1">
    <mergeCell ref="A1:H1"/>
  </mergeCells>
  <dataValidations count="5">
    <dataValidation type="whole" allowBlank="1" showInputMessage="1" showErrorMessage="1" errorTitle="Thông báo" error="Nhập các ngày hợp lệ 1,2,...,31" sqref="B3:B40" xr:uid="{8F8CDCD7-9F29-4A41-AC8B-8628CF4D7001}">
      <formula1>1</formula1>
      <formula2>31</formula2>
    </dataValidation>
    <dataValidation type="whole" allowBlank="1" showInputMessage="1" showErrorMessage="1" errorTitle="Thông báo" error="Nhập các tháng hợp lệ 1,2,...,12" sqref="C3:C40" xr:uid="{896BD8FB-1503-4151-957F-E2D9678005C9}">
      <formula1>1</formula1>
      <formula2>12</formula2>
    </dataValidation>
    <dataValidation type="whole" operator="greaterThan" allowBlank="1" showInputMessage="1" showErrorMessage="1" errorTitle="Thông báo" error="Nhập năm hợp lệ" sqref="D3:D40" xr:uid="{49D4F0F3-595F-4FF5-8AFB-9179E8FC3819}">
      <formula1>0</formula1>
    </dataValidation>
    <dataValidation type="whole" operator="greaterThan" allowBlank="1" showInputMessage="1" showErrorMessage="1" errorTitle="Thông báo" error="Nhập số" sqref="F3:F40" xr:uid="{D42571F4-6E94-47ED-8BA8-CABB8C13C3D7}">
      <formula1>0</formula1>
    </dataValidation>
    <dataValidation operator="greaterThan" allowBlank="1" showInputMessage="1" showErrorMessage="1" sqref="G3:G40" xr:uid="{5E5DB87E-DA52-4A49-8568-2B12910FEE72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Sản phẩm không có trong DS" error="Hãy check lại DS thực phẩm nhé" xr:uid="{D34D0F57-30B3-4278-9D98-C5F87A068180}">
          <x14:formula1>
            <xm:f>'1.2-DS thực phẩm'!$B$2:$B$100000</xm:f>
          </x14:formula1>
          <xm:sqref>E3:E40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A98F-AAC5-4851-8921-95DB308344E2}">
  <sheetPr>
    <tabColor rgb="FFFF0000"/>
  </sheetPr>
  <dimension ref="A1:Q15"/>
  <sheetViews>
    <sheetView workbookViewId="0">
      <selection activeCell="E11" sqref="E11"/>
    </sheetView>
  </sheetViews>
  <sheetFormatPr defaultColWidth="10.81640625" defaultRowHeight="14.5" x14ac:dyDescent="0.35"/>
  <cols>
    <col min="1" max="15" width="10.81640625" style="69"/>
    <col min="16" max="16" width="15.36328125" style="97" customWidth="1"/>
    <col min="17" max="16384" width="10.81640625" style="69"/>
  </cols>
  <sheetData>
    <row r="1" spans="1:17" ht="21" customHeight="1" x14ac:dyDescent="0.35">
      <c r="A1" s="101" t="s">
        <v>89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7" ht="14.5" customHeight="1" x14ac:dyDescent="0.3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</row>
    <row r="3" spans="1:17" ht="14.5" customHeight="1" x14ac:dyDescent="0.3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</row>
    <row r="4" spans="1:17" s="93" customFormat="1" ht="29" x14ac:dyDescent="0.35">
      <c r="A4" s="93" t="s">
        <v>82</v>
      </c>
      <c r="B4" s="93" t="s">
        <v>76</v>
      </c>
    </row>
    <row r="5" spans="1:17" s="93" customFormat="1" ht="43.5" x14ac:dyDescent="0.35">
      <c r="A5" s="93" t="s">
        <v>72</v>
      </c>
      <c r="B5" s="93" t="s">
        <v>37</v>
      </c>
      <c r="C5" s="93" t="s">
        <v>61</v>
      </c>
      <c r="D5" s="93" t="s">
        <v>5</v>
      </c>
      <c r="E5" s="93" t="s">
        <v>57</v>
      </c>
      <c r="F5" s="93" t="s">
        <v>7</v>
      </c>
      <c r="G5" s="93" t="s">
        <v>36</v>
      </c>
      <c r="H5" s="93" t="s">
        <v>3</v>
      </c>
      <c r="I5" s="93" t="s">
        <v>1</v>
      </c>
      <c r="J5" s="93" t="s">
        <v>56</v>
      </c>
      <c r="K5" s="93" t="s">
        <v>71</v>
      </c>
      <c r="L5" s="93" t="s">
        <v>33</v>
      </c>
      <c r="M5" s="93" t="s">
        <v>70</v>
      </c>
      <c r="N5" s="93" t="s">
        <v>62</v>
      </c>
      <c r="O5" s="93" t="s">
        <v>66</v>
      </c>
      <c r="P5" s="93" t="s">
        <v>65</v>
      </c>
      <c r="Q5" s="93" t="s">
        <v>81</v>
      </c>
    </row>
    <row r="6" spans="1:17" x14ac:dyDescent="0.35">
      <c r="A6" s="70">
        <v>45931</v>
      </c>
      <c r="B6" s="71"/>
      <c r="C6" s="71"/>
      <c r="D6" s="71">
        <v>525000</v>
      </c>
      <c r="E6" s="71"/>
      <c r="F6" s="71">
        <v>580000</v>
      </c>
      <c r="G6" s="71"/>
      <c r="H6" s="71">
        <v>1490890</v>
      </c>
      <c r="I6" s="71">
        <v>1377500</v>
      </c>
      <c r="J6" s="71"/>
      <c r="K6" s="71"/>
      <c r="L6" s="71">
        <v>191700</v>
      </c>
      <c r="M6" s="71"/>
      <c r="N6" s="71"/>
      <c r="O6" s="71"/>
      <c r="P6" s="71"/>
      <c r="Q6" s="98">
        <v>4165090</v>
      </c>
    </row>
    <row r="7" spans="1:17" x14ac:dyDescent="0.35">
      <c r="A7" s="70">
        <v>45932</v>
      </c>
      <c r="B7" s="71">
        <v>35000</v>
      </c>
      <c r="C7" s="71"/>
      <c r="D7" s="71"/>
      <c r="E7" s="71"/>
      <c r="F7" s="71"/>
      <c r="G7" s="71">
        <v>1738800</v>
      </c>
      <c r="H7" s="71"/>
      <c r="I7" s="71"/>
      <c r="J7" s="71"/>
      <c r="K7" s="71"/>
      <c r="L7" s="71"/>
      <c r="M7" s="71"/>
      <c r="N7" s="71"/>
      <c r="O7" s="71"/>
      <c r="P7" s="71">
        <v>1167300</v>
      </c>
      <c r="Q7" s="98">
        <v>2941100</v>
      </c>
    </row>
    <row r="8" spans="1:17" x14ac:dyDescent="0.35">
      <c r="A8" s="70">
        <v>45933</v>
      </c>
      <c r="B8" s="71"/>
      <c r="C8" s="71"/>
      <c r="D8" s="71">
        <v>262500</v>
      </c>
      <c r="E8" s="71"/>
      <c r="F8" s="71"/>
      <c r="G8" s="71">
        <v>1030400</v>
      </c>
      <c r="H8" s="71">
        <v>2053490</v>
      </c>
      <c r="I8" s="71"/>
      <c r="J8" s="71"/>
      <c r="K8" s="71"/>
      <c r="L8" s="71"/>
      <c r="M8" s="71"/>
      <c r="N8" s="71"/>
      <c r="O8" s="71"/>
      <c r="P8" s="71"/>
      <c r="Q8" s="98">
        <v>3346390</v>
      </c>
    </row>
    <row r="9" spans="1:17" x14ac:dyDescent="0.35">
      <c r="A9" s="70">
        <v>45936</v>
      </c>
      <c r="B9" s="71"/>
      <c r="C9" s="71"/>
      <c r="D9" s="71"/>
      <c r="E9" s="71">
        <v>590760</v>
      </c>
      <c r="F9" s="71"/>
      <c r="G9" s="71">
        <v>1030400</v>
      </c>
      <c r="H9" s="71">
        <v>2109750</v>
      </c>
      <c r="I9" s="71"/>
      <c r="J9" s="71">
        <v>398860.00000000006</v>
      </c>
      <c r="K9" s="71"/>
      <c r="L9" s="71"/>
      <c r="M9" s="71"/>
      <c r="N9" s="71"/>
      <c r="O9" s="71"/>
      <c r="P9" s="71"/>
      <c r="Q9" s="98">
        <v>4129770</v>
      </c>
    </row>
    <row r="10" spans="1:17" x14ac:dyDescent="0.35">
      <c r="A10" s="70">
        <v>45937</v>
      </c>
      <c r="B10" s="71"/>
      <c r="C10" s="71"/>
      <c r="D10" s="71">
        <v>1181250</v>
      </c>
      <c r="E10" s="71"/>
      <c r="F10" s="71"/>
      <c r="G10" s="71">
        <v>1610000</v>
      </c>
      <c r="H10" s="71"/>
      <c r="I10" s="71"/>
      <c r="J10" s="71">
        <v>362600</v>
      </c>
      <c r="K10" s="71"/>
      <c r="L10" s="71"/>
      <c r="M10" s="71"/>
      <c r="N10" s="71"/>
      <c r="O10" s="71"/>
      <c r="P10" s="71"/>
      <c r="Q10" s="98">
        <v>3153850</v>
      </c>
    </row>
    <row r="11" spans="1:17" x14ac:dyDescent="0.35">
      <c r="A11" s="70">
        <v>45938</v>
      </c>
      <c r="B11" s="71"/>
      <c r="C11" s="71">
        <v>272000</v>
      </c>
      <c r="D11" s="71"/>
      <c r="E11" s="71"/>
      <c r="F11" s="71"/>
      <c r="G11" s="71">
        <v>1545600</v>
      </c>
      <c r="H11" s="71">
        <v>1322110</v>
      </c>
      <c r="I11" s="71"/>
      <c r="J11" s="71"/>
      <c r="K11" s="71"/>
      <c r="L11" s="71"/>
      <c r="M11" s="71"/>
      <c r="N11" s="71">
        <v>762500</v>
      </c>
      <c r="O11" s="71"/>
      <c r="P11" s="71"/>
      <c r="Q11" s="98">
        <v>3902210</v>
      </c>
    </row>
    <row r="12" spans="1:17" x14ac:dyDescent="0.35">
      <c r="A12" s="70">
        <v>45939</v>
      </c>
      <c r="B12" s="71">
        <v>168000</v>
      </c>
      <c r="C12" s="71"/>
      <c r="D12" s="71"/>
      <c r="E12" s="71"/>
      <c r="F12" s="71"/>
      <c r="G12" s="71">
        <v>1610000</v>
      </c>
      <c r="H12" s="71">
        <v>618860</v>
      </c>
      <c r="I12" s="71"/>
      <c r="J12" s="71"/>
      <c r="K12" s="71"/>
      <c r="L12" s="71">
        <v>214200</v>
      </c>
      <c r="M12" s="71"/>
      <c r="N12" s="71"/>
      <c r="O12" s="71">
        <v>80000</v>
      </c>
      <c r="P12" s="71">
        <v>1037600</v>
      </c>
      <c r="Q12" s="98">
        <v>3728660</v>
      </c>
    </row>
    <row r="13" spans="1:17" x14ac:dyDescent="0.35">
      <c r="A13" s="70">
        <v>45940</v>
      </c>
      <c r="B13" s="71">
        <v>196000</v>
      </c>
      <c r="C13" s="71"/>
      <c r="D13" s="71"/>
      <c r="E13" s="71"/>
      <c r="F13" s="71">
        <v>1595000</v>
      </c>
      <c r="G13" s="71">
        <v>772800</v>
      </c>
      <c r="H13" s="71"/>
      <c r="I13" s="71"/>
      <c r="J13" s="71"/>
      <c r="K13" s="71"/>
      <c r="L13" s="71"/>
      <c r="M13" s="71"/>
      <c r="N13" s="71">
        <v>869250</v>
      </c>
      <c r="O13" s="71">
        <v>420000</v>
      </c>
      <c r="P13" s="71"/>
      <c r="Q13" s="98">
        <v>3853050</v>
      </c>
    </row>
    <row r="14" spans="1:17" x14ac:dyDescent="0.35">
      <c r="A14" s="70">
        <v>45943</v>
      </c>
      <c r="B14" s="71"/>
      <c r="C14" s="71"/>
      <c r="D14" s="71"/>
      <c r="E14" s="71"/>
      <c r="F14" s="71"/>
      <c r="G14" s="71">
        <v>850000</v>
      </c>
      <c r="H14" s="71">
        <v>1833000</v>
      </c>
      <c r="I14" s="71"/>
      <c r="J14" s="71">
        <v>364000</v>
      </c>
      <c r="K14" s="71">
        <v>312400</v>
      </c>
      <c r="L14" s="71"/>
      <c r="M14" s="71">
        <v>201000</v>
      </c>
      <c r="N14" s="71"/>
      <c r="O14" s="71"/>
      <c r="P14" s="71"/>
      <c r="Q14" s="98">
        <v>3560400</v>
      </c>
    </row>
    <row r="15" spans="1:17" s="96" customFormat="1" x14ac:dyDescent="0.35">
      <c r="A15" s="94" t="s">
        <v>81</v>
      </c>
      <c r="B15" s="95">
        <v>399000</v>
      </c>
      <c r="C15" s="95">
        <v>272000</v>
      </c>
      <c r="D15" s="95">
        <v>1968750</v>
      </c>
      <c r="E15" s="95">
        <v>590760</v>
      </c>
      <c r="F15" s="95">
        <v>2175000</v>
      </c>
      <c r="G15" s="95">
        <v>10188000</v>
      </c>
      <c r="H15" s="95">
        <v>9428100</v>
      </c>
      <c r="I15" s="95">
        <v>1377500</v>
      </c>
      <c r="J15" s="95">
        <v>1125460</v>
      </c>
      <c r="K15" s="95">
        <v>312400</v>
      </c>
      <c r="L15" s="95">
        <v>405900</v>
      </c>
      <c r="M15" s="95">
        <v>201000</v>
      </c>
      <c r="N15" s="95">
        <v>1631750</v>
      </c>
      <c r="O15" s="95">
        <v>500000</v>
      </c>
      <c r="P15" s="95">
        <v>2204900</v>
      </c>
      <c r="Q15" s="99">
        <v>32780520</v>
      </c>
    </row>
  </sheetData>
  <mergeCells count="1">
    <mergeCell ref="A1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3D37-4B4E-445E-A1C4-045C2B69461C}">
  <dimension ref="A1:B50"/>
  <sheetViews>
    <sheetView workbookViewId="0">
      <pane ySplit="1" topLeftCell="A2" activePane="bottomLeft" state="frozen"/>
      <selection pane="bottomLeft" activeCell="B47" sqref="B47"/>
    </sheetView>
  </sheetViews>
  <sheetFormatPr defaultRowHeight="14.5" x14ac:dyDescent="0.35"/>
  <cols>
    <col min="1" max="1" width="8.26953125" style="66" bestFit="1" customWidth="1"/>
    <col min="2" max="2" width="23.7265625" style="67" customWidth="1"/>
  </cols>
  <sheetData>
    <row r="1" spans="1:2" x14ac:dyDescent="0.35">
      <c r="A1" s="43" t="s">
        <v>79</v>
      </c>
      <c r="B1" s="73" t="s">
        <v>80</v>
      </c>
    </row>
    <row r="2" spans="1:2" x14ac:dyDescent="0.35">
      <c r="A2" s="40">
        <f t="shared" ref="A2:A33" si="0">ROW()-1</f>
        <v>1</v>
      </c>
      <c r="B2" s="41" t="s">
        <v>1</v>
      </c>
    </row>
    <row r="3" spans="1:2" x14ac:dyDescent="0.35">
      <c r="A3" s="40">
        <f t="shared" si="0"/>
        <v>2</v>
      </c>
      <c r="B3" s="3" t="s">
        <v>3</v>
      </c>
    </row>
    <row r="4" spans="1:2" x14ac:dyDescent="0.35">
      <c r="A4" s="40">
        <f t="shared" si="0"/>
        <v>3</v>
      </c>
      <c r="B4" s="3" t="s">
        <v>7</v>
      </c>
    </row>
    <row r="5" spans="1:2" x14ac:dyDescent="0.35">
      <c r="A5" s="40">
        <f t="shared" si="0"/>
        <v>4</v>
      </c>
      <c r="B5" s="3" t="s">
        <v>5</v>
      </c>
    </row>
    <row r="6" spans="1:2" x14ac:dyDescent="0.35">
      <c r="A6" s="40">
        <f t="shared" si="0"/>
        <v>5</v>
      </c>
      <c r="B6" s="3" t="s">
        <v>61</v>
      </c>
    </row>
    <row r="7" spans="1:2" x14ac:dyDescent="0.35">
      <c r="A7" s="40">
        <f t="shared" si="0"/>
        <v>6</v>
      </c>
      <c r="B7" s="42" t="s">
        <v>62</v>
      </c>
    </row>
    <row r="8" spans="1:2" x14ac:dyDescent="0.35">
      <c r="A8" s="40">
        <f t="shared" si="0"/>
        <v>7</v>
      </c>
      <c r="B8" s="42" t="s">
        <v>70</v>
      </c>
    </row>
    <row r="9" spans="1:2" x14ac:dyDescent="0.35">
      <c r="A9" s="40">
        <f t="shared" si="0"/>
        <v>8</v>
      </c>
      <c r="B9" s="42" t="s">
        <v>71</v>
      </c>
    </row>
    <row r="10" spans="1:2" x14ac:dyDescent="0.35">
      <c r="A10" s="40">
        <f t="shared" si="0"/>
        <v>9</v>
      </c>
      <c r="B10" s="3" t="s">
        <v>56</v>
      </c>
    </row>
    <row r="11" spans="1:2" x14ac:dyDescent="0.35">
      <c r="A11" s="40">
        <f t="shared" si="0"/>
        <v>10</v>
      </c>
      <c r="B11" s="3" t="s">
        <v>57</v>
      </c>
    </row>
    <row r="12" spans="1:2" x14ac:dyDescent="0.35">
      <c r="A12" s="40">
        <f t="shared" si="0"/>
        <v>11</v>
      </c>
      <c r="B12" s="3" t="s">
        <v>33</v>
      </c>
    </row>
    <row r="13" spans="1:2" x14ac:dyDescent="0.35">
      <c r="A13" s="40">
        <f t="shared" si="0"/>
        <v>12</v>
      </c>
      <c r="B13" s="3" t="s">
        <v>36</v>
      </c>
    </row>
    <row r="14" spans="1:2" x14ac:dyDescent="0.35">
      <c r="A14" s="40">
        <f t="shared" si="0"/>
        <v>13</v>
      </c>
      <c r="B14" s="3" t="s">
        <v>65</v>
      </c>
    </row>
    <row r="15" spans="1:2" x14ac:dyDescent="0.35">
      <c r="A15" s="40">
        <f t="shared" si="0"/>
        <v>14</v>
      </c>
      <c r="B15" s="3" t="s">
        <v>37</v>
      </c>
    </row>
    <row r="16" spans="1:2" x14ac:dyDescent="0.35">
      <c r="A16" s="40">
        <f t="shared" si="0"/>
        <v>15</v>
      </c>
      <c r="B16" s="3" t="s">
        <v>66</v>
      </c>
    </row>
    <row r="17" spans="1:2" x14ac:dyDescent="0.35">
      <c r="A17" s="40">
        <f t="shared" si="0"/>
        <v>16</v>
      </c>
      <c r="B17" s="3" t="s">
        <v>11</v>
      </c>
    </row>
    <row r="18" spans="1:2" x14ac:dyDescent="0.35">
      <c r="A18" s="40">
        <f t="shared" si="0"/>
        <v>17</v>
      </c>
      <c r="B18" s="3" t="s">
        <v>2</v>
      </c>
    </row>
    <row r="19" spans="1:2" x14ac:dyDescent="0.35">
      <c r="A19" s="40">
        <f t="shared" si="0"/>
        <v>18</v>
      </c>
      <c r="B19" s="3" t="s">
        <v>4</v>
      </c>
    </row>
    <row r="20" spans="1:2" x14ac:dyDescent="0.35">
      <c r="A20" s="40">
        <f t="shared" si="0"/>
        <v>19</v>
      </c>
      <c r="B20" s="3" t="s">
        <v>9</v>
      </c>
    </row>
    <row r="21" spans="1:2" x14ac:dyDescent="0.35">
      <c r="A21" s="40">
        <f t="shared" si="0"/>
        <v>20</v>
      </c>
      <c r="B21" s="3" t="s">
        <v>6</v>
      </c>
    </row>
    <row r="22" spans="1:2" x14ac:dyDescent="0.35">
      <c r="A22" s="40">
        <f t="shared" si="0"/>
        <v>21</v>
      </c>
      <c r="B22" s="3" t="s">
        <v>67</v>
      </c>
    </row>
    <row r="23" spans="1:2" x14ac:dyDescent="0.35">
      <c r="A23" s="40">
        <f t="shared" si="0"/>
        <v>22</v>
      </c>
      <c r="B23" s="3" t="s">
        <v>10</v>
      </c>
    </row>
    <row r="24" spans="1:2" x14ac:dyDescent="0.35">
      <c r="A24" s="40">
        <f t="shared" si="0"/>
        <v>23</v>
      </c>
      <c r="B24" s="3" t="s">
        <v>38</v>
      </c>
    </row>
    <row r="25" spans="1:2" x14ac:dyDescent="0.35">
      <c r="A25" s="40">
        <f t="shared" si="0"/>
        <v>24</v>
      </c>
      <c r="B25" s="3" t="s">
        <v>39</v>
      </c>
    </row>
    <row r="26" spans="1:2" x14ac:dyDescent="0.35">
      <c r="A26" s="40">
        <f t="shared" si="0"/>
        <v>25</v>
      </c>
      <c r="B26" s="3" t="s">
        <v>40</v>
      </c>
    </row>
    <row r="27" spans="1:2" x14ac:dyDescent="0.35">
      <c r="A27" s="40">
        <f t="shared" si="0"/>
        <v>26</v>
      </c>
      <c r="B27" s="3" t="s">
        <v>41</v>
      </c>
    </row>
    <row r="28" spans="1:2" x14ac:dyDescent="0.35">
      <c r="A28" s="40">
        <f t="shared" si="0"/>
        <v>27</v>
      </c>
      <c r="B28" s="3" t="s">
        <v>64</v>
      </c>
    </row>
    <row r="29" spans="1:2" x14ac:dyDescent="0.35">
      <c r="A29" s="40">
        <f t="shared" si="0"/>
        <v>28</v>
      </c>
      <c r="B29" s="3" t="s">
        <v>51</v>
      </c>
    </row>
    <row r="30" spans="1:2" x14ac:dyDescent="0.35">
      <c r="A30" s="40">
        <f t="shared" si="0"/>
        <v>29</v>
      </c>
      <c r="B30" s="3" t="s">
        <v>52</v>
      </c>
    </row>
    <row r="31" spans="1:2" x14ac:dyDescent="0.35">
      <c r="A31" s="40">
        <f t="shared" si="0"/>
        <v>30</v>
      </c>
      <c r="B31" s="3" t="s">
        <v>55</v>
      </c>
    </row>
    <row r="32" spans="1:2" x14ac:dyDescent="0.35">
      <c r="A32" s="40">
        <f t="shared" si="0"/>
        <v>31</v>
      </c>
      <c r="B32" s="3" t="s">
        <v>69</v>
      </c>
    </row>
    <row r="33" spans="1:2" x14ac:dyDescent="0.35">
      <c r="A33" s="40">
        <f t="shared" si="0"/>
        <v>32</v>
      </c>
      <c r="B33" s="3" t="s">
        <v>42</v>
      </c>
    </row>
    <row r="34" spans="1:2" x14ac:dyDescent="0.35">
      <c r="A34" s="40">
        <f t="shared" ref="A34:A50" si="1">ROW()-1</f>
        <v>33</v>
      </c>
      <c r="B34" s="3" t="s">
        <v>60</v>
      </c>
    </row>
    <row r="35" spans="1:2" x14ac:dyDescent="0.35">
      <c r="A35" s="40">
        <f t="shared" si="1"/>
        <v>34</v>
      </c>
      <c r="B35" s="3" t="s">
        <v>68</v>
      </c>
    </row>
    <row r="36" spans="1:2" x14ac:dyDescent="0.35">
      <c r="A36" s="40">
        <f t="shared" si="1"/>
        <v>35</v>
      </c>
      <c r="B36" s="3" t="s">
        <v>8</v>
      </c>
    </row>
    <row r="37" spans="1:2" x14ac:dyDescent="0.35">
      <c r="A37" s="40">
        <f t="shared" si="1"/>
        <v>36</v>
      </c>
      <c r="B37" s="3" t="s">
        <v>34</v>
      </c>
    </row>
    <row r="38" spans="1:2" x14ac:dyDescent="0.35">
      <c r="A38" s="40">
        <f t="shared" si="1"/>
        <v>37</v>
      </c>
      <c r="B38" s="3" t="s">
        <v>43</v>
      </c>
    </row>
    <row r="39" spans="1:2" x14ac:dyDescent="0.35">
      <c r="A39" s="40">
        <f t="shared" si="1"/>
        <v>38</v>
      </c>
      <c r="B39" s="3" t="s">
        <v>44</v>
      </c>
    </row>
    <row r="40" spans="1:2" x14ac:dyDescent="0.35">
      <c r="A40" s="40">
        <f t="shared" si="1"/>
        <v>39</v>
      </c>
      <c r="B40" s="3" t="s">
        <v>63</v>
      </c>
    </row>
    <row r="41" spans="1:2" x14ac:dyDescent="0.35">
      <c r="A41" s="40">
        <f t="shared" si="1"/>
        <v>40</v>
      </c>
      <c r="B41" s="3" t="s">
        <v>59</v>
      </c>
    </row>
    <row r="42" spans="1:2" x14ac:dyDescent="0.35">
      <c r="A42" s="40">
        <f t="shared" si="1"/>
        <v>41</v>
      </c>
      <c r="B42" s="3" t="s">
        <v>45</v>
      </c>
    </row>
    <row r="43" spans="1:2" x14ac:dyDescent="0.35">
      <c r="A43" s="40">
        <f t="shared" si="1"/>
        <v>42</v>
      </c>
      <c r="B43" s="3" t="s">
        <v>53</v>
      </c>
    </row>
    <row r="44" spans="1:2" x14ac:dyDescent="0.35">
      <c r="A44" s="40">
        <f t="shared" si="1"/>
        <v>43</v>
      </c>
      <c r="B44" s="3" t="s">
        <v>54</v>
      </c>
    </row>
    <row r="45" spans="1:2" x14ac:dyDescent="0.35">
      <c r="A45" s="40">
        <f t="shared" si="1"/>
        <v>44</v>
      </c>
      <c r="B45" s="3" t="s">
        <v>58</v>
      </c>
    </row>
    <row r="46" spans="1:2" x14ac:dyDescent="0.35">
      <c r="A46" s="40">
        <f t="shared" si="1"/>
        <v>45</v>
      </c>
      <c r="B46" s="3" t="s">
        <v>46</v>
      </c>
    </row>
    <row r="47" spans="1:2" x14ac:dyDescent="0.35">
      <c r="A47" s="40">
        <f t="shared" si="1"/>
        <v>46</v>
      </c>
      <c r="B47" s="3" t="s">
        <v>47</v>
      </c>
    </row>
    <row r="48" spans="1:2" x14ac:dyDescent="0.35">
      <c r="A48" s="40">
        <f t="shared" si="1"/>
        <v>47</v>
      </c>
      <c r="B48" s="3" t="s">
        <v>48</v>
      </c>
    </row>
    <row r="49" spans="1:2" x14ac:dyDescent="0.35">
      <c r="A49" s="40">
        <f t="shared" si="1"/>
        <v>48</v>
      </c>
      <c r="B49" s="3" t="s">
        <v>49</v>
      </c>
    </row>
    <row r="50" spans="1:2" x14ac:dyDescent="0.35">
      <c r="A50" s="64">
        <f t="shared" si="1"/>
        <v>49</v>
      </c>
      <c r="B50" s="65" t="s">
        <v>50</v>
      </c>
    </row>
  </sheetData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cũ</vt:lpstr>
      <vt:lpstr>0-Hướng dẫn</vt:lpstr>
      <vt:lpstr>1-Nhập liệu thực phẩm</vt:lpstr>
      <vt:lpstr>2-TỔNG HỢP</vt:lpstr>
      <vt:lpstr>1.2-DS thực phẩm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PTC</dc:creator>
  <cp:lastModifiedBy>Trinh Huỳnh</cp:lastModifiedBy>
  <dcterms:created xsi:type="dcterms:W3CDTF">2025-10-01T01:31:10Z</dcterms:created>
  <dcterms:modified xsi:type="dcterms:W3CDTF">2025-11-19T17:11:30Z</dcterms:modified>
</cp:coreProperties>
</file>